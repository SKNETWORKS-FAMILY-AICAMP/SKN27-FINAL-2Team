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cab96046944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febf014e7a084fbb"/>
    <x:sheet xmlns:r="http://schemas.openxmlformats.org/officeDocument/2006/relationships" name="평가_메인" sheetId="2" r:id="R5603c51f13ac4f0d"/>
    <x:sheet xmlns:r="http://schemas.openxmlformats.org/officeDocument/2006/relationships" name="문항_원문" sheetId="3" r:id="R9b684c28d5f848b9"/>
    <x:sheet xmlns:r="http://schemas.openxmlformats.org/officeDocument/2006/relationships" name="평가기준_요약" sheetId="4" r:id="R721029caf0354a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e48e7d15e499e" /><Relationship Type="http://schemas.openxmlformats.org/officeDocument/2006/relationships/theme" Target="/xl/theme/theme1.xml" Id="R975313442db7405c" /><Relationship Type="http://schemas.openxmlformats.org/officeDocument/2006/relationships/sharedStrings" Target="/xl/sharedStrings.xml" Id="R984fca128b3a4b46" /><Relationship Type="http://schemas.openxmlformats.org/officeDocument/2006/relationships/worksheet" Target="/xl/worksheets/sheet1.xml" Id="Rfebf014e7a084fbb" /><Relationship Type="http://schemas.openxmlformats.org/officeDocument/2006/relationships/worksheet" Target="/xl/worksheets/sheet2.xml" Id="R5603c51f13ac4f0d" /><Relationship Type="http://schemas.openxmlformats.org/officeDocument/2006/relationships/worksheet" Target="/xl/worksheets/sheet3.xml" Id="R9b684c28d5f848b9" /><Relationship Type="http://schemas.openxmlformats.org/officeDocument/2006/relationships/worksheet" Target="/xl/worksheets/sheet4.xml" Id="R721029caf0354a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4" max="4" width="72" hidden="0" customWidth="1"/>
  </x:cols>
  <x:sheetData>
    <x:row r="1">
      <x:c r="A1" s="23" t="str">
        <x:v>한능검 50문항 평가 일치율 대시보드</x:v>
      </x:c>
      <x:c r="B1" s="23"/>
      <x:c r="C1" s="23"/>
      <x:c r="D1" s="23"/>
    </x:row>
    <x:row r="2">
      <x:c r="A2" s="22"/>
      <x:c r="B2" s="22"/>
      <x:c r="C2" s="22"/>
      <x:c r="D2" s="22"/>
    </x:row>
    <x:row r="3">
      <x:c r="A3" s="9" t="str">
        <x:v>항목</x:v>
      </x:c>
      <x:c r="B3" s="9" t="str">
        <x:v>값</x:v>
      </x:c>
      <x:c r="C3" s="22"/>
      <x:c r="D3" s="22" t="str">
        <x:v>사용법</x:v>
      </x:c>
    </x:row>
    <x:row r="4">
      <x:c r="A4" s="17" t="str">
        <x:v>전체 문항 수</x:v>
      </x:c>
      <x:c r="B4" s="17" t="n">
        <x:f>COUNTA('평가_메인'!A2:A51)</x:f>
        <x:v>50</x:v>
      </x:c>
      <x:c r="C4" s="22"/>
      <x:c r="D4" s="22" t="str">
        <x:v>1. 평가_메인에서 Codex/Human Gate와 점수를 입력한다.</x:v>
      </x:c>
    </x:row>
    <x:row r="5">
      <x:c r="A5" s="17" t="str">
        <x:v>Codex Gate PASS</x:v>
      </x:c>
      <x:c r="B5" s="17" t="n">
        <x:f>COUNTIF('평가_메인'!J2:J51,"PASS")</x:f>
        <x:v>0</x:v>
      </x:c>
      <x:c r="C5" s="22"/>
      <x:c r="D5" s="22" t="str">
        <x:v>2. Gate가 하나라도 FAIL이면 점수는 0으로 계산된다.</x:v>
      </x:c>
    </x:row>
    <x:row r="6">
      <x:c r="A6" s="17" t="str">
        <x:v>Human Gate PASS</x:v>
      </x:c>
      <x:c r="B6" s="17" t="n">
        <x:f>COUNTIF('평가_메인'!V2:V51,"PASS")</x:f>
        <x:v>0</x:v>
      </x:c>
      <x:c r="C6" s="22"/>
      <x:c r="D6" s="22" t="str">
        <x:v>3. Gate uncertain은 PASS가 아니므로 후속 검증 대상으로 둔다.</x:v>
      </x:c>
    </x:row>
    <x:row r="7">
      <x:c r="A7" s="17" t="str">
        <x:v>Gate 양쪽 입력 완료</x:v>
      </x:c>
      <x:c r="B7" s="17" t="n">
        <x:f>SUMPRODUCT(--('평가_메인'!J2:J51&lt;&gt;""),--('평가_메인'!V2:V51&lt;&gt;""))</x:f>
        <x:v>0</x:v>
      </x:c>
      <x:c r="C7" s="22"/>
      <x:c r="D7" s="22" t="str">
        <x:v>4. 최종 일치는 Gate가 같고 문제점수 차이가 1점 이하일 때 일치로 계산한다.</x:v>
      </x:c>
    </x:row>
    <x:row r="8">
      <x:c r="A8" s="17" t="str">
        <x:v>Gate 일치율</x:v>
      </x:c>
      <x:c r="B8" s="25" t="str">
        <x:f>IFERROR(COUNTIF('평가_메인'!AB2:AB51,"일치")/SUMPRODUCT(--('평가_메인'!AB2:AB51&lt;&gt;"")),"")</x:f>
      </x:c>
      <x:c r="C8" s="22"/>
      <x:c r="D8" s="22" t="str">
        <x:v>5. 문제 원문은 문항_원문 탭에서 확인한다.</x:v>
      </x:c>
    </x:row>
    <x:row r="9">
      <x:c r="A9" s="17" t="str">
        <x:v>최종 일치율</x:v>
      </x:c>
      <x:c r="B9" s="25" t="str">
        <x:f>IFERROR(COUNTIF('평가_메인'!AE2:AE51,"일치")/SUMPRODUCT(--('평가_메인'!AE2:AE51&lt;&gt;"")),"")</x:f>
      </x:c>
      <x:c r="C9" s="22"/>
      <x:c r="D9" s="22" t="str">
        <x:v>6. 현행 기준은 평가기준_요약 탭에 압축했다.</x:v>
      </x:c>
    </x:row>
    <x:row r="10">
      <x:c r="A10" s="17" t="str">
        <x:v>Codex 평균 문제점수</x:v>
      </x:c>
      <x:c r="B10" s="24" t="str">
        <x:f>IFERROR(AVERAGEIF('평가_메인'!N2:N51,"&lt;&gt;"),"")</x:f>
      </x:c>
      <x:c r="C10" s="22"/>
      <x:c r="D10" s="22" t="str">
        <x:v>7. 해설 평가는 이 PDF에 해설이 없어 제외했다.</x:v>
      </x:c>
    </x:row>
    <x:row r="11">
      <x:c r="A11" s="17" t="str">
        <x:v>Human 평균 문제점수</x:v>
      </x:c>
      <x:c r="B11" s="24" t="str">
        <x:f>IFERROR(AVERAGEIF('평가_메인'!Z2:Z51,"&lt;&gt;"),"")</x:f>
      </x:c>
      <x:c r="C11" s="22"/>
      <x:c r="D11" s="22"/>
    </x:row>
    <x:row r="12">
      <x:c r="A12" s="17" t="str">
        <x:v>평균 점수차</x:v>
      </x:c>
      <x:c r="B12" s="24" t="str">
        <x:f>IFERROR(AVERAGEIF('평가_메인'!AD2:AD51,"&lt;&gt;"),"")</x:f>
      </x:c>
      <x:c r="C12" s="22"/>
      <x:c r="D12" s="22"/>
    </x:row>
    <x:row r="13">
      <x:c r="A13" s="17" t="str">
        <x:v>Codex 통과문항 평균</x:v>
      </x:c>
      <x:c r="B13" s="17" t="str">
        <x:f>IFERROR(AVERAGEIF('평가_메인'!J2:J51,"PASS",'평가_메인'!N2:N51),"")</x:f>
      </x:c>
      <x:c r="C13" s="22"/>
      <x:c r="D13" s="22"/>
    </x:row>
    <x:row r="14">
      <x:c r="A14" s="17" t="str">
        <x:v>Human 통과문항 평균</x:v>
      </x:c>
      <x:c r="B14" s="17" t="str">
        <x:f>IFERROR(AVERAGEIF('평가_메인'!V2:V51,"PASS",'평가_메인'!Z2:Z51),"")</x:f>
      </x:c>
      <x:c r="C14" s="22"/>
      <x:c r="D14" s="22"/>
    </x:row>
    <x:row r="15">
      <x:c r="A15" s="17" t="str">
        <x:v>검토 필요 문항 수</x:v>
      </x:c>
      <x:c r="B15" s="17" t="n">
        <x:f>COUNTIF('평가_메인'!AE2:AE51,"검토")</x:f>
        <x:v>0</x:v>
      </x:c>
      <x:c r="C15" s="22"/>
      <x:c r="D15" s="22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36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36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</x:cols>
  <x:sheetData>
    <x:row r="1">
      <x:c r="A1" s="9" t="str">
        <x:v>번호</x:v>
      </x:c>
      <x:c r="B1" s="9" t="str">
        <x:v>배점</x:v>
      </x:c>
      <x:c r="C1" s="9" t="str">
        <x:v>정답</x:v>
      </x:c>
      <x:c r="D1" s="9" t="str">
        <x:v>Codex G1</x:v>
      </x:c>
      <x:c r="E1" s="9" t="str">
        <x:v>Codex G2</x:v>
      </x:c>
      <x:c r="F1" s="9" t="str">
        <x:v>Codex G3</x:v>
      </x:c>
      <x:c r="G1" s="9" t="str">
        <x:v>Codex G4</x:v>
      </x:c>
      <x:c r="H1" s="9" t="str">
        <x:v>Codex G5</x:v>
      </x:c>
      <x:c r="I1" s="9" t="str">
        <x:v>Codex G6</x:v>
      </x:c>
      <x:c r="J1" s="9" t="str">
        <x:v>Codex Gate</x:v>
      </x:c>
      <x:c r="K1" s="9" t="str">
        <x:v>Codex 조치</x:v>
      </x:c>
      <x:c r="L1" s="9" t="str">
        <x:v>Codex 난이도(4)</x:v>
      </x:c>
      <x:c r="M1" s="9" t="str">
        <x:v>Codex 선택지품질(6)</x:v>
      </x:c>
      <x:c r="N1" s="9" t="str">
        <x:v>Codex 문제점수(10)</x:v>
      </x:c>
      <x:c r="O1" s="9" t="str">
        <x:v>Codex 사유</x:v>
      </x:c>
      <x:c r="P1" s="9" t="str">
        <x:v>Human G1</x:v>
      </x:c>
      <x:c r="Q1" s="9" t="str">
        <x:v>Human G2</x:v>
      </x:c>
      <x:c r="R1" s="9" t="str">
        <x:v>Human G3</x:v>
      </x:c>
      <x:c r="S1" s="9" t="str">
        <x:v>Human G4</x:v>
      </x:c>
      <x:c r="T1" s="9" t="str">
        <x:v>Human G5</x:v>
      </x:c>
      <x:c r="U1" s="9" t="str">
        <x:v>Human G6</x:v>
      </x:c>
      <x:c r="V1" s="9" t="str">
        <x:v>Human Gate</x:v>
      </x:c>
      <x:c r="W1" s="9" t="str">
        <x:v>Human 조치</x:v>
      </x:c>
      <x:c r="X1" s="9" t="str">
        <x:v>Human 난이도(4)</x:v>
      </x:c>
      <x:c r="Y1" s="9" t="str">
        <x:v>Human 선택지품질(6)</x:v>
      </x:c>
      <x:c r="Z1" s="9" t="str">
        <x:v>Human 문제점수(10)</x:v>
      </x:c>
      <x:c r="AA1" s="9" t="str">
        <x:v>Human 사유</x:v>
      </x:c>
      <x:c r="AB1" s="9" t="str">
        <x:v>Gate 일치</x:v>
      </x:c>
      <x:c r="AC1" s="9" t="str">
        <x:v>조치 일치</x:v>
      </x:c>
      <x:c r="AD1" s="9" t="str">
        <x:v>점수차</x:v>
      </x:c>
      <x:c r="AE1" s="9" t="str">
        <x:v>최종 일치</x:v>
      </x:c>
      <x:c r="AF1" s="9" t="str">
        <x:v>비고</x:v>
      </x:c>
    </x:row>
    <x:row r="2">
      <x:c r="A2" s="17" t="n">
        <x:v>1</x:v>
      </x:c>
      <x:c r="B2" s="17" t="n">
        <x:v>1</x:v>
      </x:c>
      <x:c r="C2" s="17" t="str">
        <x:v>④</x:v>
      </x:c>
      <x:c r="D2" s="17"/>
      <x:c r="E2" s="17"/>
      <x:c r="F2" s="17"/>
      <x:c r="G2" s="17"/>
      <x:c r="H2" s="17"/>
      <x:c r="I2" s="17"/>
      <x:c r="J2" s="18" t="str">
        <x:f>IF(COUNTA(D2:I2)=0,"",IF(COUNTIF(D2:I2,"FAIL")&gt;0,"FAIL",IF(COUNTIF(D2:I2,"uncertain")&gt;0,"uncertain","PASS")))</x:f>
      </x:c>
      <x:c r="K2" s="17"/>
      <x:c r="L2" s="17"/>
      <x:c r="M2" s="17"/>
      <x:c r="N2" s="19" t="str">
        <x:f>IF(J2="","",IF(J2="PASS",SUM(L2:M2),0))</x:f>
      </x:c>
      <x:c r="O2" s="17"/>
      <x:c r="P2" s="17"/>
      <x:c r="Q2" s="17"/>
      <x:c r="R2" s="17"/>
      <x:c r="S2" s="17"/>
      <x:c r="T2" s="17"/>
      <x:c r="U2" s="17"/>
      <x:c r="V2" s="18" t="str">
        <x:f>IF(COUNTA(P2:U2)=0,"",IF(COUNTIF(P2:U2,"FAIL")&gt;0,"FAIL",IF(COUNTIF(P2:U2,"uncertain")&gt;0,"uncertain","PASS")))</x:f>
      </x:c>
      <x:c r="W2" s="17"/>
      <x:c r="X2" s="17"/>
      <x:c r="Y2" s="17"/>
      <x:c r="Z2" s="19" t="str">
        <x:f>IF(V2="","",IF(V2="PASS",SUM(X2:Y2),0))</x:f>
      </x:c>
      <x:c r="AA2" s="17"/>
      <x:c r="AB2" s="20" t="str">
        <x:f>IF(OR(J2="",V2=""),"",IF(J2=V2,"일치","불일치"))</x:f>
      </x:c>
      <x:c r="AC2" s="20" t="str">
        <x:f>IF(OR(K2="",W2=""),"",IF(K2=W2,"일치","불일치"))</x:f>
      </x:c>
      <x:c r="AD2" s="20" t="str">
        <x:f>IF(OR(N2="",Z2=""),"",ABS(N2-Z2))</x:f>
      </x:c>
      <x:c r="AE2" s="20" t="str">
        <x:f>IF(OR(AB2="",AD2=""),"",IF(AND(AB2="일치",AD2&lt;=1),"일치","검토"))</x:f>
      </x:c>
      <x:c r="AF2" s="17"/>
    </x:row>
    <x:row r="3">
      <x:c r="A3" s="17" t="n">
        <x:v>2</x:v>
      </x:c>
      <x:c r="B3" s="17" t="n">
        <x:v>1</x:v>
      </x:c>
      <x:c r="C3" s="17" t="str">
        <x:v>②</x:v>
      </x:c>
      <x:c r="D3" s="17"/>
      <x:c r="E3" s="17"/>
      <x:c r="F3" s="17"/>
      <x:c r="G3" s="17"/>
      <x:c r="H3" s="17"/>
      <x:c r="I3" s="17"/>
      <x:c r="J3" s="18" t="str">
        <x:f>IF(COUNTA(D3:I3)=0,"",IF(COUNTIF(D3:I3,"FAIL")&gt;0,"FAIL",IF(COUNTIF(D3:I3,"uncertain")&gt;0,"uncertain","PASS")))</x:f>
      </x:c>
      <x:c r="K3" s="17"/>
      <x:c r="L3" s="17"/>
      <x:c r="M3" s="17"/>
      <x:c r="N3" s="19" t="str">
        <x:f>IF(J3="","",IF(J3="PASS",SUM(L3:M3),0))</x:f>
      </x:c>
      <x:c r="O3" s="17"/>
      <x:c r="P3" s="17"/>
      <x:c r="Q3" s="17"/>
      <x:c r="R3" s="17"/>
      <x:c r="S3" s="17"/>
      <x:c r="T3" s="17"/>
      <x:c r="U3" s="17"/>
      <x:c r="V3" s="18" t="str">
        <x:f>IF(COUNTA(P3:U3)=0,"",IF(COUNTIF(P3:U3,"FAIL")&gt;0,"FAIL",IF(COUNTIF(P3:U3,"uncertain")&gt;0,"uncertain","PASS")))</x:f>
      </x:c>
      <x:c r="W3" s="17"/>
      <x:c r="X3" s="17"/>
      <x:c r="Y3" s="17"/>
      <x:c r="Z3" s="19" t="str">
        <x:f>IF(V3="","",IF(V3="PASS",SUM(X3:Y3),0))</x:f>
      </x:c>
      <x:c r="AA3" s="17"/>
      <x:c r="AB3" s="20" t="str">
        <x:f>IF(OR(J3="",V3=""),"",IF(J3=V3,"일치","불일치"))</x:f>
      </x:c>
      <x:c r="AC3" s="20" t="str">
        <x:f>IF(OR(K3="",W3=""),"",IF(K3=W3,"일치","불일치"))</x:f>
      </x:c>
      <x:c r="AD3" s="20" t="str">
        <x:f>IF(OR(N3="",Z3=""),"",ABS(N3-Z3))</x:f>
      </x:c>
      <x:c r="AE3" s="20" t="str">
        <x:f>IF(OR(AB3="",AD3=""),"",IF(AND(AB3="일치",AD3&lt;=1),"일치","검토"))</x:f>
      </x:c>
      <x:c r="AF3" s="17"/>
    </x:row>
    <x:row r="4">
      <x:c r="A4" s="17" t="n">
        <x:v>3</x:v>
      </x:c>
      <x:c r="B4" s="17" t="n">
        <x:v>2</x:v>
      </x:c>
      <x:c r="C4" s="17" t="str">
        <x:v>③</x:v>
      </x:c>
      <x:c r="D4" s="17"/>
      <x:c r="E4" s="17"/>
      <x:c r="F4" s="17"/>
      <x:c r="G4" s="17"/>
      <x:c r="H4" s="17"/>
      <x:c r="I4" s="17"/>
      <x:c r="J4" s="18" t="str">
        <x:f>IF(COUNTA(D4:I4)=0,"",IF(COUNTIF(D4:I4,"FAIL")&gt;0,"FAIL",IF(COUNTIF(D4:I4,"uncertain")&gt;0,"uncertain","PASS")))</x:f>
      </x:c>
      <x:c r="K4" s="17"/>
      <x:c r="L4" s="17"/>
      <x:c r="M4" s="17"/>
      <x:c r="N4" s="19" t="str">
        <x:f>IF(J4="","",IF(J4="PASS",SUM(L4:M4),0))</x:f>
      </x:c>
      <x:c r="O4" s="17"/>
      <x:c r="P4" s="17"/>
      <x:c r="Q4" s="17"/>
      <x:c r="R4" s="17"/>
      <x:c r="S4" s="17"/>
      <x:c r="T4" s="17"/>
      <x:c r="U4" s="17"/>
      <x:c r="V4" s="18" t="str">
        <x:f>IF(COUNTA(P4:U4)=0,"",IF(COUNTIF(P4:U4,"FAIL")&gt;0,"FAIL",IF(COUNTIF(P4:U4,"uncertain")&gt;0,"uncertain","PASS")))</x:f>
      </x:c>
      <x:c r="W4" s="17"/>
      <x:c r="X4" s="17"/>
      <x:c r="Y4" s="17"/>
      <x:c r="Z4" s="19" t="str">
        <x:f>IF(V4="","",IF(V4="PASS",SUM(X4:Y4),0))</x:f>
      </x:c>
      <x:c r="AA4" s="17"/>
      <x:c r="AB4" s="20" t="str">
        <x:f>IF(OR(J4="",V4=""),"",IF(J4=V4,"일치","불일치"))</x:f>
      </x:c>
      <x:c r="AC4" s="20" t="str">
        <x:f>IF(OR(K4="",W4=""),"",IF(K4=W4,"일치","불일치"))</x:f>
      </x:c>
      <x:c r="AD4" s="20" t="str">
        <x:f>IF(OR(N4="",Z4=""),"",ABS(N4-Z4))</x:f>
      </x:c>
      <x:c r="AE4" s="20" t="str">
        <x:f>IF(OR(AB4="",AD4=""),"",IF(AND(AB4="일치",AD4&lt;=1),"일치","검토"))</x:f>
      </x:c>
      <x:c r="AF4" s="17"/>
    </x:row>
    <x:row r="5">
      <x:c r="A5" s="17" t="n">
        <x:v>4</x:v>
      </x:c>
      <x:c r="B5" s="17" t="n">
        <x:v>2</x:v>
      </x:c>
      <x:c r="C5" s="17" t="str">
        <x:v>③</x:v>
      </x:c>
      <x:c r="D5" s="17"/>
      <x:c r="E5" s="17"/>
      <x:c r="F5" s="17"/>
      <x:c r="G5" s="17"/>
      <x:c r="H5" s="17"/>
      <x:c r="I5" s="17"/>
      <x:c r="J5" s="18" t="str">
        <x:f>IF(COUNTA(D5:I5)=0,"",IF(COUNTIF(D5:I5,"FAIL")&gt;0,"FAIL",IF(COUNTIF(D5:I5,"uncertain")&gt;0,"uncertain","PASS")))</x:f>
      </x:c>
      <x:c r="K5" s="17"/>
      <x:c r="L5" s="17"/>
      <x:c r="M5" s="17"/>
      <x:c r="N5" s="19" t="str">
        <x:f>IF(J5="","",IF(J5="PASS",SUM(L5:M5),0))</x:f>
      </x:c>
      <x:c r="O5" s="17"/>
      <x:c r="P5" s="17"/>
      <x:c r="Q5" s="17"/>
      <x:c r="R5" s="17"/>
      <x:c r="S5" s="17"/>
      <x:c r="T5" s="17"/>
      <x:c r="U5" s="17"/>
      <x:c r="V5" s="18" t="str">
        <x:f>IF(COUNTA(P5:U5)=0,"",IF(COUNTIF(P5:U5,"FAIL")&gt;0,"FAIL",IF(COUNTIF(P5:U5,"uncertain")&gt;0,"uncertain","PASS")))</x:f>
      </x:c>
      <x:c r="W5" s="17"/>
      <x:c r="X5" s="17"/>
      <x:c r="Y5" s="17"/>
      <x:c r="Z5" s="19" t="str">
        <x:f>IF(V5="","",IF(V5="PASS",SUM(X5:Y5),0))</x:f>
      </x:c>
      <x:c r="AA5" s="17"/>
      <x:c r="AB5" s="20" t="str">
        <x:f>IF(OR(J5="",V5=""),"",IF(J5=V5,"일치","불일치"))</x:f>
      </x:c>
      <x:c r="AC5" s="20" t="str">
        <x:f>IF(OR(K5="",W5=""),"",IF(K5=W5,"일치","불일치"))</x:f>
      </x:c>
      <x:c r="AD5" s="20" t="str">
        <x:f>IF(OR(N5="",Z5=""),"",ABS(N5-Z5))</x:f>
      </x:c>
      <x:c r="AE5" s="20" t="str">
        <x:f>IF(OR(AB5="",AD5=""),"",IF(AND(AB5="일치",AD5&lt;=1),"일치","검토"))</x:f>
      </x:c>
      <x:c r="AF5" s="17"/>
    </x:row>
    <x:row r="6">
      <x:c r="A6" s="17" t="n">
        <x:v>5</x:v>
      </x:c>
      <x:c r="B6" s="17" t="n">
        <x:v>2</x:v>
      </x:c>
      <x:c r="C6" s="17" t="str">
        <x:v>③</x:v>
      </x:c>
      <x:c r="D6" s="17"/>
      <x:c r="E6" s="17"/>
      <x:c r="F6" s="17"/>
      <x:c r="G6" s="17"/>
      <x:c r="H6" s="17"/>
      <x:c r="I6" s="17"/>
      <x:c r="J6" s="18" t="str">
        <x:f>IF(COUNTA(D6:I6)=0,"",IF(COUNTIF(D6:I6,"FAIL")&gt;0,"FAIL",IF(COUNTIF(D6:I6,"uncertain")&gt;0,"uncertain","PASS")))</x:f>
      </x:c>
      <x:c r="K6" s="17"/>
      <x:c r="L6" s="17"/>
      <x:c r="M6" s="17"/>
      <x:c r="N6" s="19" t="str">
        <x:f>IF(J6="","",IF(J6="PASS",SUM(L6:M6),0))</x:f>
      </x:c>
      <x:c r="O6" s="17"/>
      <x:c r="P6" s="17"/>
      <x:c r="Q6" s="17"/>
      <x:c r="R6" s="17"/>
      <x:c r="S6" s="17"/>
      <x:c r="T6" s="17"/>
      <x:c r="U6" s="17"/>
      <x:c r="V6" s="18" t="str">
        <x:f>IF(COUNTA(P6:U6)=0,"",IF(COUNTIF(P6:U6,"FAIL")&gt;0,"FAIL",IF(COUNTIF(P6:U6,"uncertain")&gt;0,"uncertain","PASS")))</x:f>
      </x:c>
      <x:c r="W6" s="17"/>
      <x:c r="X6" s="17"/>
      <x:c r="Y6" s="17"/>
      <x:c r="Z6" s="19" t="str">
        <x:f>IF(V6="","",IF(V6="PASS",SUM(X6:Y6),0))</x:f>
      </x:c>
      <x:c r="AA6" s="17"/>
      <x:c r="AB6" s="20" t="str">
        <x:f>IF(OR(J6="",V6=""),"",IF(J6=V6,"일치","불일치"))</x:f>
      </x:c>
      <x:c r="AC6" s="20" t="str">
        <x:f>IF(OR(K6="",W6=""),"",IF(K6=W6,"일치","불일치"))</x:f>
      </x:c>
      <x:c r="AD6" s="20" t="str">
        <x:f>IF(OR(N6="",Z6=""),"",ABS(N6-Z6))</x:f>
      </x:c>
      <x:c r="AE6" s="20" t="str">
        <x:f>IF(OR(AB6="",AD6=""),"",IF(AND(AB6="일치",AD6&lt;=1),"일치","검토"))</x:f>
      </x:c>
      <x:c r="AF6" s="17"/>
    </x:row>
    <x:row r="7">
      <x:c r="A7" s="17" t="n">
        <x:v>6</x:v>
      </x:c>
      <x:c r="B7" s="17" t="n">
        <x:v>2</x:v>
      </x:c>
      <x:c r="C7" s="17" t="str">
        <x:v>③</x:v>
      </x:c>
      <x:c r="D7" s="17"/>
      <x:c r="E7" s="17"/>
      <x:c r="F7" s="17"/>
      <x:c r="G7" s="17"/>
      <x:c r="H7" s="17"/>
      <x:c r="I7" s="17"/>
      <x:c r="J7" s="18" t="str">
        <x:f>IF(COUNTA(D7:I7)=0,"",IF(COUNTIF(D7:I7,"FAIL")&gt;0,"FAIL",IF(COUNTIF(D7:I7,"uncertain")&gt;0,"uncertain","PASS")))</x:f>
      </x:c>
      <x:c r="K7" s="17"/>
      <x:c r="L7" s="17"/>
      <x:c r="M7" s="17"/>
      <x:c r="N7" s="19" t="str">
        <x:f>IF(J7="","",IF(J7="PASS",SUM(L7:M7),0))</x:f>
      </x:c>
      <x:c r="O7" s="17"/>
      <x:c r="P7" s="17"/>
      <x:c r="Q7" s="17"/>
      <x:c r="R7" s="17"/>
      <x:c r="S7" s="17"/>
      <x:c r="T7" s="17"/>
      <x:c r="U7" s="17"/>
      <x:c r="V7" s="18" t="str">
        <x:f>IF(COUNTA(P7:U7)=0,"",IF(COUNTIF(P7:U7,"FAIL")&gt;0,"FAIL",IF(COUNTIF(P7:U7,"uncertain")&gt;0,"uncertain","PASS")))</x:f>
      </x:c>
      <x:c r="W7" s="17"/>
      <x:c r="X7" s="17"/>
      <x:c r="Y7" s="17"/>
      <x:c r="Z7" s="19" t="str">
        <x:f>IF(V7="","",IF(V7="PASS",SUM(X7:Y7),0))</x:f>
      </x:c>
      <x:c r="AA7" s="17"/>
      <x:c r="AB7" s="20" t="str">
        <x:f>IF(OR(J7="",V7=""),"",IF(J7=V7,"일치","불일치"))</x:f>
      </x:c>
      <x:c r="AC7" s="20" t="str">
        <x:f>IF(OR(K7="",W7=""),"",IF(K7=W7,"일치","불일치"))</x:f>
      </x:c>
      <x:c r="AD7" s="20" t="str">
        <x:f>IF(OR(N7="",Z7=""),"",ABS(N7-Z7))</x:f>
      </x:c>
      <x:c r="AE7" s="20" t="str">
        <x:f>IF(OR(AB7="",AD7=""),"",IF(AND(AB7="일치",AD7&lt;=1),"일치","검토"))</x:f>
      </x:c>
      <x:c r="AF7" s="17"/>
    </x:row>
    <x:row r="8">
      <x:c r="A8" s="17" t="n">
        <x:v>7</x:v>
      </x:c>
      <x:c r="B8" s="17" t="n">
        <x:v>2</x:v>
      </x:c>
      <x:c r="C8" s="17" t="str">
        <x:v>③</x:v>
      </x:c>
      <x:c r="D8" s="17"/>
      <x:c r="E8" s="17"/>
      <x:c r="F8" s="17"/>
      <x:c r="G8" s="17"/>
      <x:c r="H8" s="17"/>
      <x:c r="I8" s="17"/>
      <x:c r="J8" s="18" t="str">
        <x:f>IF(COUNTA(D8:I8)=0,"",IF(COUNTIF(D8:I8,"FAIL")&gt;0,"FAIL",IF(COUNTIF(D8:I8,"uncertain")&gt;0,"uncertain","PASS")))</x:f>
      </x:c>
      <x:c r="K8" s="17"/>
      <x:c r="L8" s="17"/>
      <x:c r="M8" s="17"/>
      <x:c r="N8" s="19" t="str">
        <x:f>IF(J8="","",IF(J8="PASS",SUM(L8:M8),0))</x:f>
      </x:c>
      <x:c r="O8" s="17"/>
      <x:c r="P8" s="17"/>
      <x:c r="Q8" s="17"/>
      <x:c r="R8" s="17"/>
      <x:c r="S8" s="17"/>
      <x:c r="T8" s="17"/>
      <x:c r="U8" s="17"/>
      <x:c r="V8" s="18" t="str">
        <x:f>IF(COUNTA(P8:U8)=0,"",IF(COUNTIF(P8:U8,"FAIL")&gt;0,"FAIL",IF(COUNTIF(P8:U8,"uncertain")&gt;0,"uncertain","PASS")))</x:f>
      </x:c>
      <x:c r="W8" s="17"/>
      <x:c r="X8" s="17"/>
      <x:c r="Y8" s="17"/>
      <x:c r="Z8" s="19" t="str">
        <x:f>IF(V8="","",IF(V8="PASS",SUM(X8:Y8),0))</x:f>
      </x:c>
      <x:c r="AA8" s="17"/>
      <x:c r="AB8" s="20" t="str">
        <x:f>IF(OR(J8="",V8=""),"",IF(J8=V8,"일치","불일치"))</x:f>
      </x:c>
      <x:c r="AC8" s="20" t="str">
        <x:f>IF(OR(K8="",W8=""),"",IF(K8=W8,"일치","불일치"))</x:f>
      </x:c>
      <x:c r="AD8" s="20" t="str">
        <x:f>IF(OR(N8="",Z8=""),"",ABS(N8-Z8))</x:f>
      </x:c>
      <x:c r="AE8" s="20" t="str">
        <x:f>IF(OR(AB8="",AD8=""),"",IF(AND(AB8="일치",AD8&lt;=1),"일치","검토"))</x:f>
      </x:c>
      <x:c r="AF8" s="17"/>
    </x:row>
    <x:row r="9">
      <x:c r="A9" s="17" t="n">
        <x:v>8</x:v>
      </x:c>
      <x:c r="B9" s="17" t="n">
        <x:v>2</x:v>
      </x:c>
      <x:c r="C9" s="17" t="str">
        <x:v>④</x:v>
      </x:c>
      <x:c r="D9" s="17"/>
      <x:c r="E9" s="17"/>
      <x:c r="F9" s="17"/>
      <x:c r="G9" s="17"/>
      <x:c r="H9" s="17"/>
      <x:c r="I9" s="17"/>
      <x:c r="J9" s="18" t="str">
        <x:f>IF(COUNTA(D9:I9)=0,"",IF(COUNTIF(D9:I9,"FAIL")&gt;0,"FAIL",IF(COUNTIF(D9:I9,"uncertain")&gt;0,"uncertain","PASS")))</x:f>
      </x:c>
      <x:c r="K9" s="17"/>
      <x:c r="L9" s="17"/>
      <x:c r="M9" s="17"/>
      <x:c r="N9" s="19" t="str">
        <x:f>IF(J9="","",IF(J9="PASS",SUM(L9:M9),0))</x:f>
      </x:c>
      <x:c r="O9" s="17"/>
      <x:c r="P9" s="17"/>
      <x:c r="Q9" s="17"/>
      <x:c r="R9" s="17"/>
      <x:c r="S9" s="17"/>
      <x:c r="T9" s="17"/>
      <x:c r="U9" s="17"/>
      <x:c r="V9" s="18" t="str">
        <x:f>IF(COUNTA(P9:U9)=0,"",IF(COUNTIF(P9:U9,"FAIL")&gt;0,"FAIL",IF(COUNTIF(P9:U9,"uncertain")&gt;0,"uncertain","PASS")))</x:f>
      </x:c>
      <x:c r="W9" s="17"/>
      <x:c r="X9" s="17"/>
      <x:c r="Y9" s="17"/>
      <x:c r="Z9" s="19" t="str">
        <x:f>IF(V9="","",IF(V9="PASS",SUM(X9:Y9),0))</x:f>
      </x:c>
      <x:c r="AA9" s="17"/>
      <x:c r="AB9" s="20" t="str">
        <x:f>IF(OR(J9="",V9=""),"",IF(J9=V9,"일치","불일치"))</x:f>
      </x:c>
      <x:c r="AC9" s="20" t="str">
        <x:f>IF(OR(K9="",W9=""),"",IF(K9=W9,"일치","불일치"))</x:f>
      </x:c>
      <x:c r="AD9" s="20" t="str">
        <x:f>IF(OR(N9="",Z9=""),"",ABS(N9-Z9))</x:f>
      </x:c>
      <x:c r="AE9" s="20" t="str">
        <x:f>IF(OR(AB9="",AD9=""),"",IF(AND(AB9="일치",AD9&lt;=1),"일치","검토"))</x:f>
      </x:c>
      <x:c r="AF9" s="17"/>
    </x:row>
    <x:row r="10">
      <x:c r="A10" s="17" t="n">
        <x:v>9</x:v>
      </x:c>
      <x:c r="B10" s="17" t="n">
        <x:v>2</x:v>
      </x:c>
      <x:c r="C10" s="17" t="str">
        <x:v>③</x:v>
      </x:c>
      <x:c r="D10" s="17"/>
      <x:c r="E10" s="17"/>
      <x:c r="F10" s="17"/>
      <x:c r="G10" s="17"/>
      <x:c r="H10" s="17"/>
      <x:c r="I10" s="17"/>
      <x:c r="J10" s="18" t="str">
        <x:f>IF(COUNTA(D10:I10)=0,"",IF(COUNTIF(D10:I10,"FAIL")&gt;0,"FAIL",IF(COUNTIF(D10:I10,"uncertain")&gt;0,"uncertain","PASS")))</x:f>
      </x:c>
      <x:c r="K10" s="17"/>
      <x:c r="L10" s="17"/>
      <x:c r="M10" s="17"/>
      <x:c r="N10" s="19" t="str">
        <x:f>IF(J10="","",IF(J10="PASS",SUM(L10:M10),0))</x:f>
      </x:c>
      <x:c r="O10" s="17"/>
      <x:c r="P10" s="17"/>
      <x:c r="Q10" s="17"/>
      <x:c r="R10" s="17"/>
      <x:c r="S10" s="17"/>
      <x:c r="T10" s="17"/>
      <x:c r="U10" s="17"/>
      <x:c r="V10" s="18" t="str">
        <x:f>IF(COUNTA(P10:U10)=0,"",IF(COUNTIF(P10:U10,"FAIL")&gt;0,"FAIL",IF(COUNTIF(P10:U10,"uncertain")&gt;0,"uncertain","PASS")))</x:f>
      </x:c>
      <x:c r="W10" s="17"/>
      <x:c r="X10" s="17"/>
      <x:c r="Y10" s="17"/>
      <x:c r="Z10" s="19" t="str">
        <x:f>IF(V10="","",IF(V10="PASS",SUM(X10:Y10),0))</x:f>
      </x:c>
      <x:c r="AA10" s="17"/>
      <x:c r="AB10" s="20" t="str">
        <x:f>IF(OR(J10="",V10=""),"",IF(J10=V10,"일치","불일치"))</x:f>
      </x:c>
      <x:c r="AC10" s="20" t="str">
        <x:f>IF(OR(K10="",W10=""),"",IF(K10=W10,"일치","불일치"))</x:f>
      </x:c>
      <x:c r="AD10" s="20" t="str">
        <x:f>IF(OR(N10="",Z10=""),"",ABS(N10-Z10))</x:f>
      </x:c>
      <x:c r="AE10" s="20" t="str">
        <x:f>IF(OR(AB10="",AD10=""),"",IF(AND(AB10="일치",AD10&lt;=1),"일치","검토"))</x:f>
      </x:c>
      <x:c r="AF10" s="17"/>
    </x:row>
    <x:row r="11">
      <x:c r="A11" s="17" t="n">
        <x:v>10</x:v>
      </x:c>
      <x:c r="B11" s="17" t="n">
        <x:v>2</x:v>
      </x:c>
      <x:c r="C11" s="17" t="str">
        <x:v>③</x:v>
      </x:c>
      <x:c r="D11" s="17"/>
      <x:c r="E11" s="17"/>
      <x:c r="F11" s="17"/>
      <x:c r="G11" s="17"/>
      <x:c r="H11" s="17"/>
      <x:c r="I11" s="17"/>
      <x:c r="J11" s="18" t="str">
        <x:f>IF(COUNTA(D11:I11)=0,"",IF(COUNTIF(D11:I11,"FAIL")&gt;0,"FAIL",IF(COUNTIF(D11:I11,"uncertain")&gt;0,"uncertain","PASS")))</x:f>
      </x:c>
      <x:c r="K11" s="17"/>
      <x:c r="L11" s="17"/>
      <x:c r="M11" s="17"/>
      <x:c r="N11" s="19" t="str">
        <x:f>IF(J11="","",IF(J11="PASS",SUM(L11:M11),0))</x:f>
      </x:c>
      <x:c r="O11" s="17"/>
      <x:c r="P11" s="17"/>
      <x:c r="Q11" s="17"/>
      <x:c r="R11" s="17"/>
      <x:c r="S11" s="17"/>
      <x:c r="T11" s="17"/>
      <x:c r="U11" s="17"/>
      <x:c r="V11" s="18" t="str">
        <x:f>IF(COUNTA(P11:U11)=0,"",IF(COUNTIF(P11:U11,"FAIL")&gt;0,"FAIL",IF(COUNTIF(P11:U11,"uncertain")&gt;0,"uncertain","PASS")))</x:f>
      </x:c>
      <x:c r="W11" s="17"/>
      <x:c r="X11" s="17"/>
      <x:c r="Y11" s="17"/>
      <x:c r="Z11" s="19" t="str">
        <x:f>IF(V11="","",IF(V11="PASS",SUM(X11:Y11),0))</x:f>
      </x:c>
      <x:c r="AA11" s="17"/>
      <x:c r="AB11" s="20" t="str">
        <x:f>IF(OR(J11="",V11=""),"",IF(J11=V11,"일치","불일치"))</x:f>
      </x:c>
      <x:c r="AC11" s="20" t="str">
        <x:f>IF(OR(K11="",W11=""),"",IF(K11=W11,"일치","불일치"))</x:f>
      </x:c>
      <x:c r="AD11" s="20" t="str">
        <x:f>IF(OR(N11="",Z11=""),"",ABS(N11-Z11))</x:f>
      </x:c>
      <x:c r="AE11" s="20" t="str">
        <x:f>IF(OR(AB11="",AD11=""),"",IF(AND(AB11="일치",AD11&lt;=1),"일치","검토"))</x:f>
      </x:c>
      <x:c r="AF11" s="17"/>
    </x:row>
    <x:row r="12">
      <x:c r="A12" s="17" t="n">
        <x:v>11</x:v>
      </x:c>
      <x:c r="B12" s="17" t="n">
        <x:v>2</x:v>
      </x:c>
      <x:c r="C12" s="17" t="str">
        <x:v>①</x:v>
      </x:c>
      <x:c r="D12" s="17"/>
      <x:c r="E12" s="17"/>
      <x:c r="F12" s="17"/>
      <x:c r="G12" s="17"/>
      <x:c r="H12" s="17"/>
      <x:c r="I12" s="17"/>
      <x:c r="J12" s="18" t="str">
        <x:f>IF(COUNTA(D12:I12)=0,"",IF(COUNTIF(D12:I12,"FAIL")&gt;0,"FAIL",IF(COUNTIF(D12:I12,"uncertain")&gt;0,"uncertain","PASS")))</x:f>
      </x:c>
      <x:c r="K12" s="17"/>
      <x:c r="L12" s="17"/>
      <x:c r="M12" s="17"/>
      <x:c r="N12" s="19" t="str">
        <x:f>IF(J12="","",IF(J12="PASS",SUM(L12:M12),0))</x:f>
      </x:c>
      <x:c r="O12" s="17"/>
      <x:c r="P12" s="17"/>
      <x:c r="Q12" s="17"/>
      <x:c r="R12" s="17"/>
      <x:c r="S12" s="17"/>
      <x:c r="T12" s="17"/>
      <x:c r="U12" s="17"/>
      <x:c r="V12" s="18" t="str">
        <x:f>IF(COUNTA(P12:U12)=0,"",IF(COUNTIF(P12:U12,"FAIL")&gt;0,"FAIL",IF(COUNTIF(P12:U12,"uncertain")&gt;0,"uncertain","PASS")))</x:f>
      </x:c>
      <x:c r="W12" s="17"/>
      <x:c r="X12" s="17"/>
      <x:c r="Y12" s="17"/>
      <x:c r="Z12" s="19" t="str">
        <x:f>IF(V12="","",IF(V12="PASS",SUM(X12:Y12),0))</x:f>
      </x:c>
      <x:c r="AA12" s="17"/>
      <x:c r="AB12" s="20" t="str">
        <x:f>IF(OR(J12="",V12=""),"",IF(J12=V12,"일치","불일치"))</x:f>
      </x:c>
      <x:c r="AC12" s="20" t="str">
        <x:f>IF(OR(K12="",W12=""),"",IF(K12=W12,"일치","불일치"))</x:f>
      </x:c>
      <x:c r="AD12" s="20" t="str">
        <x:f>IF(OR(N12="",Z12=""),"",ABS(N12-Z12))</x:f>
      </x:c>
      <x:c r="AE12" s="20" t="str">
        <x:f>IF(OR(AB12="",AD12=""),"",IF(AND(AB12="일치",AD12&lt;=1),"일치","검토"))</x:f>
      </x:c>
      <x:c r="AF12" s="17"/>
    </x:row>
    <x:row r="13">
      <x:c r="A13" s="17" t="n">
        <x:v>12</x:v>
      </x:c>
      <x:c r="B13" s="17" t="n">
        <x:v>2</x:v>
      </x:c>
      <x:c r="C13" s="17" t="str">
        <x:v>②</x:v>
      </x:c>
      <x:c r="D13" s="17"/>
      <x:c r="E13" s="17"/>
      <x:c r="F13" s="17"/>
      <x:c r="G13" s="17"/>
      <x:c r="H13" s="17"/>
      <x:c r="I13" s="17"/>
      <x:c r="J13" s="18" t="str">
        <x:f>IF(COUNTA(D13:I13)=0,"",IF(COUNTIF(D13:I13,"FAIL")&gt;0,"FAIL",IF(COUNTIF(D13:I13,"uncertain")&gt;0,"uncertain","PASS")))</x:f>
      </x:c>
      <x:c r="K13" s="17"/>
      <x:c r="L13" s="17"/>
      <x:c r="M13" s="17"/>
      <x:c r="N13" s="19" t="str">
        <x:f>IF(J13="","",IF(J13="PASS",SUM(L13:M13),0))</x:f>
      </x:c>
      <x:c r="O13" s="17"/>
      <x:c r="P13" s="17"/>
      <x:c r="Q13" s="17"/>
      <x:c r="R13" s="17"/>
      <x:c r="S13" s="17"/>
      <x:c r="T13" s="17"/>
      <x:c r="U13" s="17"/>
      <x:c r="V13" s="18" t="str">
        <x:f>IF(COUNTA(P13:U13)=0,"",IF(COUNTIF(P13:U13,"FAIL")&gt;0,"FAIL",IF(COUNTIF(P13:U13,"uncertain")&gt;0,"uncertain","PASS")))</x:f>
      </x:c>
      <x:c r="W13" s="17"/>
      <x:c r="X13" s="17"/>
      <x:c r="Y13" s="17"/>
      <x:c r="Z13" s="19" t="str">
        <x:f>IF(V13="","",IF(V13="PASS",SUM(X13:Y13),0))</x:f>
      </x:c>
      <x:c r="AA13" s="17"/>
      <x:c r="AB13" s="20" t="str">
        <x:f>IF(OR(J13="",V13=""),"",IF(J13=V13,"일치","불일치"))</x:f>
      </x:c>
      <x:c r="AC13" s="20" t="str">
        <x:f>IF(OR(K13="",W13=""),"",IF(K13=W13,"일치","불일치"))</x:f>
      </x:c>
      <x:c r="AD13" s="20" t="str">
        <x:f>IF(OR(N13="",Z13=""),"",ABS(N13-Z13))</x:f>
      </x:c>
      <x:c r="AE13" s="20" t="str">
        <x:f>IF(OR(AB13="",AD13=""),"",IF(AND(AB13="일치",AD13&lt;=1),"일치","검토"))</x:f>
      </x:c>
      <x:c r="AF13" s="17"/>
    </x:row>
    <x:row r="14">
      <x:c r="A14" s="17" t="n">
        <x:v>13</x:v>
      </x:c>
      <x:c r="B14" s="17" t="n">
        <x:v>3</x:v>
      </x:c>
      <x:c r="C14" s="17" t="str">
        <x:v>①</x:v>
      </x:c>
      <x:c r="D14" s="17"/>
      <x:c r="E14" s="17"/>
      <x:c r="F14" s="17"/>
      <x:c r="G14" s="17"/>
      <x:c r="H14" s="17"/>
      <x:c r="I14" s="17"/>
      <x:c r="J14" s="18" t="str">
        <x:f>IF(COUNTA(D14:I14)=0,"",IF(COUNTIF(D14:I14,"FAIL")&gt;0,"FAIL",IF(COUNTIF(D14:I14,"uncertain")&gt;0,"uncertain","PASS")))</x:f>
      </x:c>
      <x:c r="K14" s="17"/>
      <x:c r="L14" s="17"/>
      <x:c r="M14" s="17"/>
      <x:c r="N14" s="19" t="str">
        <x:f>IF(J14="","",IF(J14="PASS",SUM(L14:M14),0))</x:f>
      </x:c>
      <x:c r="O14" s="17"/>
      <x:c r="P14" s="17"/>
      <x:c r="Q14" s="17"/>
      <x:c r="R14" s="17"/>
      <x:c r="S14" s="17"/>
      <x:c r="T14" s="17"/>
      <x:c r="U14" s="17"/>
      <x:c r="V14" s="18" t="str">
        <x:f>IF(COUNTA(P14:U14)=0,"",IF(COUNTIF(P14:U14,"FAIL")&gt;0,"FAIL",IF(COUNTIF(P14:U14,"uncertain")&gt;0,"uncertain","PASS")))</x:f>
      </x:c>
      <x:c r="W14" s="17"/>
      <x:c r="X14" s="17"/>
      <x:c r="Y14" s="17"/>
      <x:c r="Z14" s="19" t="str">
        <x:f>IF(V14="","",IF(V14="PASS",SUM(X14:Y14),0))</x:f>
      </x:c>
      <x:c r="AA14" s="17"/>
      <x:c r="AB14" s="20" t="str">
        <x:f>IF(OR(J14="",V14=""),"",IF(J14=V14,"일치","불일치"))</x:f>
      </x:c>
      <x:c r="AC14" s="20" t="str">
        <x:f>IF(OR(K14="",W14=""),"",IF(K14=W14,"일치","불일치"))</x:f>
      </x:c>
      <x:c r="AD14" s="20" t="str">
        <x:f>IF(OR(N14="",Z14=""),"",ABS(N14-Z14))</x:f>
      </x:c>
      <x:c r="AE14" s="20" t="str">
        <x:f>IF(OR(AB14="",AD14=""),"",IF(AND(AB14="일치",AD14&lt;=1),"일치","검토"))</x:f>
      </x:c>
      <x:c r="AF14" s="17"/>
    </x:row>
    <x:row r="15">
      <x:c r="A15" s="17" t="n">
        <x:v>14</x:v>
      </x:c>
      <x:c r="B15" s="17" t="n">
        <x:v>2</x:v>
      </x:c>
      <x:c r="C15" s="17" t="str">
        <x:v>③</x:v>
      </x:c>
      <x:c r="D15" s="17"/>
      <x:c r="E15" s="17"/>
      <x:c r="F15" s="17"/>
      <x:c r="G15" s="17"/>
      <x:c r="H15" s="17"/>
      <x:c r="I15" s="17"/>
      <x:c r="J15" s="18" t="str">
        <x:f>IF(COUNTA(D15:I15)=0,"",IF(COUNTIF(D15:I15,"FAIL")&gt;0,"FAIL",IF(COUNTIF(D15:I15,"uncertain")&gt;0,"uncertain","PASS")))</x:f>
      </x:c>
      <x:c r="K15" s="17"/>
      <x:c r="L15" s="17"/>
      <x:c r="M15" s="17"/>
      <x:c r="N15" s="19" t="str">
        <x:f>IF(J15="","",IF(J15="PASS",SUM(L15:M15),0))</x:f>
      </x:c>
      <x:c r="O15" s="17"/>
      <x:c r="P15" s="17"/>
      <x:c r="Q15" s="17"/>
      <x:c r="R15" s="17"/>
      <x:c r="S15" s="17"/>
      <x:c r="T15" s="17"/>
      <x:c r="U15" s="17"/>
      <x:c r="V15" s="18" t="str">
        <x:f>IF(COUNTA(P15:U15)=0,"",IF(COUNTIF(P15:U15,"FAIL")&gt;0,"FAIL",IF(COUNTIF(P15:U15,"uncertain")&gt;0,"uncertain","PASS")))</x:f>
      </x:c>
      <x:c r="W15" s="17"/>
      <x:c r="X15" s="17"/>
      <x:c r="Y15" s="17"/>
      <x:c r="Z15" s="19" t="str">
        <x:f>IF(V15="","",IF(V15="PASS",SUM(X15:Y15),0))</x:f>
      </x:c>
      <x:c r="AA15" s="17"/>
      <x:c r="AB15" s="20" t="str">
        <x:f>IF(OR(J15="",V15=""),"",IF(J15=V15,"일치","불일치"))</x:f>
      </x:c>
      <x:c r="AC15" s="20" t="str">
        <x:f>IF(OR(K15="",W15=""),"",IF(K15=W15,"일치","불일치"))</x:f>
      </x:c>
      <x:c r="AD15" s="20" t="str">
        <x:f>IF(OR(N15="",Z15=""),"",ABS(N15-Z15))</x:f>
      </x:c>
      <x:c r="AE15" s="20" t="str">
        <x:f>IF(OR(AB15="",AD15=""),"",IF(AND(AB15="일치",AD15&lt;=1),"일치","검토"))</x:f>
      </x:c>
      <x:c r="AF15" s="17"/>
    </x:row>
    <x:row r="16">
      <x:c r="A16" s="17" t="n">
        <x:v>15</x:v>
      </x:c>
      <x:c r="B16" s="17" t="n">
        <x:v>2</x:v>
      </x:c>
      <x:c r="C16" s="17" t="str">
        <x:v>①</x:v>
      </x:c>
      <x:c r="D16" s="17"/>
      <x:c r="E16" s="17"/>
      <x:c r="F16" s="17"/>
      <x:c r="G16" s="17"/>
      <x:c r="H16" s="17"/>
      <x:c r="I16" s="17"/>
      <x:c r="J16" s="18" t="str">
        <x:f>IF(COUNTA(D16:I16)=0,"",IF(COUNTIF(D16:I16,"FAIL")&gt;0,"FAIL",IF(COUNTIF(D16:I16,"uncertain")&gt;0,"uncertain","PASS")))</x:f>
      </x:c>
      <x:c r="K16" s="17"/>
      <x:c r="L16" s="17"/>
      <x:c r="M16" s="17"/>
      <x:c r="N16" s="19" t="str">
        <x:f>IF(J16="","",IF(J16="PASS",SUM(L16:M16),0))</x:f>
      </x:c>
      <x:c r="O16" s="17"/>
      <x:c r="P16" s="17"/>
      <x:c r="Q16" s="17"/>
      <x:c r="R16" s="17"/>
      <x:c r="S16" s="17"/>
      <x:c r="T16" s="17"/>
      <x:c r="U16" s="17"/>
      <x:c r="V16" s="18" t="str">
        <x:f>IF(COUNTA(P16:U16)=0,"",IF(COUNTIF(P16:U16,"FAIL")&gt;0,"FAIL",IF(COUNTIF(P16:U16,"uncertain")&gt;0,"uncertain","PASS")))</x:f>
      </x:c>
      <x:c r="W16" s="17"/>
      <x:c r="X16" s="17"/>
      <x:c r="Y16" s="17"/>
      <x:c r="Z16" s="19" t="str">
        <x:f>IF(V16="","",IF(V16="PASS",SUM(X16:Y16),0))</x:f>
      </x:c>
      <x:c r="AA16" s="17"/>
      <x:c r="AB16" s="20" t="str">
        <x:f>IF(OR(J16="",V16=""),"",IF(J16=V16,"일치","불일치"))</x:f>
      </x:c>
      <x:c r="AC16" s="20" t="str">
        <x:f>IF(OR(K16="",W16=""),"",IF(K16=W16,"일치","불일치"))</x:f>
      </x:c>
      <x:c r="AD16" s="20" t="str">
        <x:f>IF(OR(N16="",Z16=""),"",ABS(N16-Z16))</x:f>
      </x:c>
      <x:c r="AE16" s="20" t="str">
        <x:f>IF(OR(AB16="",AD16=""),"",IF(AND(AB16="일치",AD16&lt;=1),"일치","검토"))</x:f>
      </x:c>
      <x:c r="AF16" s="17"/>
    </x:row>
    <x:row r="17">
      <x:c r="A17" s="17" t="n">
        <x:v>16</x:v>
      </x:c>
      <x:c r="B17" s="17" t="n">
        <x:v>2</x:v>
      </x:c>
      <x:c r="C17" s="17" t="str">
        <x:v>②</x:v>
      </x:c>
      <x:c r="D17" s="17"/>
      <x:c r="E17" s="17"/>
      <x:c r="F17" s="17"/>
      <x:c r="G17" s="17"/>
      <x:c r="H17" s="17"/>
      <x:c r="I17" s="17"/>
      <x:c r="J17" s="18" t="str">
        <x:f>IF(COUNTA(D17:I17)=0,"",IF(COUNTIF(D17:I17,"FAIL")&gt;0,"FAIL",IF(COUNTIF(D17:I17,"uncertain")&gt;0,"uncertain","PASS")))</x:f>
      </x:c>
      <x:c r="K17" s="17"/>
      <x:c r="L17" s="17"/>
      <x:c r="M17" s="17"/>
      <x:c r="N17" s="19" t="str">
        <x:f>IF(J17="","",IF(J17="PASS",SUM(L17:M17),0))</x:f>
      </x:c>
      <x:c r="O17" s="17"/>
      <x:c r="P17" s="17"/>
      <x:c r="Q17" s="17"/>
      <x:c r="R17" s="17"/>
      <x:c r="S17" s="17"/>
      <x:c r="T17" s="17"/>
      <x:c r="U17" s="17"/>
      <x:c r="V17" s="18" t="str">
        <x:f>IF(COUNTA(P17:U17)=0,"",IF(COUNTIF(P17:U17,"FAIL")&gt;0,"FAIL",IF(COUNTIF(P17:U17,"uncertain")&gt;0,"uncertain","PASS")))</x:f>
      </x:c>
      <x:c r="W17" s="17"/>
      <x:c r="X17" s="17"/>
      <x:c r="Y17" s="17"/>
      <x:c r="Z17" s="19" t="str">
        <x:f>IF(V17="","",IF(V17="PASS",SUM(X17:Y17),0))</x:f>
      </x:c>
      <x:c r="AA17" s="17"/>
      <x:c r="AB17" s="20" t="str">
        <x:f>IF(OR(J17="",V17=""),"",IF(J17=V17,"일치","불일치"))</x:f>
      </x:c>
      <x:c r="AC17" s="20" t="str">
        <x:f>IF(OR(K17="",W17=""),"",IF(K17=W17,"일치","불일치"))</x:f>
      </x:c>
      <x:c r="AD17" s="20" t="str">
        <x:f>IF(OR(N17="",Z17=""),"",ABS(N17-Z17))</x:f>
      </x:c>
      <x:c r="AE17" s="20" t="str">
        <x:f>IF(OR(AB17="",AD17=""),"",IF(AND(AB17="일치",AD17&lt;=1),"일치","검토"))</x:f>
      </x:c>
      <x:c r="AF17" s="17"/>
    </x:row>
    <x:row r="18">
      <x:c r="A18" s="17" t="n">
        <x:v>17</x:v>
      </x:c>
      <x:c r="B18" s="17" t="n">
        <x:v>2</x:v>
      </x:c>
      <x:c r="C18" s="17" t="str">
        <x:v>③</x:v>
      </x:c>
      <x:c r="D18" s="17"/>
      <x:c r="E18" s="17"/>
      <x:c r="F18" s="17"/>
      <x:c r="G18" s="17"/>
      <x:c r="H18" s="17"/>
      <x:c r="I18" s="17"/>
      <x:c r="J18" s="18" t="str">
        <x:f>IF(COUNTA(D18:I18)=0,"",IF(COUNTIF(D18:I18,"FAIL")&gt;0,"FAIL",IF(COUNTIF(D18:I18,"uncertain")&gt;0,"uncertain","PASS")))</x:f>
      </x:c>
      <x:c r="K18" s="17"/>
      <x:c r="L18" s="17"/>
      <x:c r="M18" s="17"/>
      <x:c r="N18" s="19" t="str">
        <x:f>IF(J18="","",IF(J18="PASS",SUM(L18:M18),0))</x:f>
      </x:c>
      <x:c r="O18" s="17"/>
      <x:c r="P18" s="17"/>
      <x:c r="Q18" s="17"/>
      <x:c r="R18" s="17"/>
      <x:c r="S18" s="17"/>
      <x:c r="T18" s="17"/>
      <x:c r="U18" s="17"/>
      <x:c r="V18" s="18" t="str">
        <x:f>IF(COUNTA(P18:U18)=0,"",IF(COUNTIF(P18:U18,"FAIL")&gt;0,"FAIL",IF(COUNTIF(P18:U18,"uncertain")&gt;0,"uncertain","PASS")))</x:f>
      </x:c>
      <x:c r="W18" s="17"/>
      <x:c r="X18" s="17"/>
      <x:c r="Y18" s="17"/>
      <x:c r="Z18" s="19" t="str">
        <x:f>IF(V18="","",IF(V18="PASS",SUM(X18:Y18),0))</x:f>
      </x:c>
      <x:c r="AA18" s="17"/>
      <x:c r="AB18" s="20" t="str">
        <x:f>IF(OR(J18="",V18=""),"",IF(J18=V18,"일치","불일치"))</x:f>
      </x:c>
      <x:c r="AC18" s="20" t="str">
        <x:f>IF(OR(K18="",W18=""),"",IF(K18=W18,"일치","불일치"))</x:f>
      </x:c>
      <x:c r="AD18" s="20" t="str">
        <x:f>IF(OR(N18="",Z18=""),"",ABS(N18-Z18))</x:f>
      </x:c>
      <x:c r="AE18" s="20" t="str">
        <x:f>IF(OR(AB18="",AD18=""),"",IF(AND(AB18="일치",AD18&lt;=1),"일치","검토"))</x:f>
      </x:c>
      <x:c r="AF18" s="17"/>
    </x:row>
    <x:row r="19">
      <x:c r="A19" s="17" t="n">
        <x:v>18</x:v>
      </x:c>
      <x:c r="B19" s="17" t="n">
        <x:v>2</x:v>
      </x:c>
      <x:c r="C19" s="17" t="str">
        <x:v>③</x:v>
      </x:c>
      <x:c r="D19" s="17"/>
      <x:c r="E19" s="17"/>
      <x:c r="F19" s="17"/>
      <x:c r="G19" s="17"/>
      <x:c r="H19" s="17"/>
      <x:c r="I19" s="17"/>
      <x:c r="J19" s="18" t="str">
        <x:f>IF(COUNTA(D19:I19)=0,"",IF(COUNTIF(D19:I19,"FAIL")&gt;0,"FAIL",IF(COUNTIF(D19:I19,"uncertain")&gt;0,"uncertain","PASS")))</x:f>
      </x:c>
      <x:c r="K19" s="17"/>
      <x:c r="L19" s="17"/>
      <x:c r="M19" s="17"/>
      <x:c r="N19" s="19" t="str">
        <x:f>IF(J19="","",IF(J19="PASS",SUM(L19:M19),0))</x:f>
      </x:c>
      <x:c r="O19" s="17"/>
      <x:c r="P19" s="17"/>
      <x:c r="Q19" s="17"/>
      <x:c r="R19" s="17"/>
      <x:c r="S19" s="17"/>
      <x:c r="T19" s="17"/>
      <x:c r="U19" s="17"/>
      <x:c r="V19" s="18" t="str">
        <x:f>IF(COUNTA(P19:U19)=0,"",IF(COUNTIF(P19:U19,"FAIL")&gt;0,"FAIL",IF(COUNTIF(P19:U19,"uncertain")&gt;0,"uncertain","PASS")))</x:f>
      </x:c>
      <x:c r="W19" s="17"/>
      <x:c r="X19" s="17"/>
      <x:c r="Y19" s="17"/>
      <x:c r="Z19" s="19" t="str">
        <x:f>IF(V19="","",IF(V19="PASS",SUM(X19:Y19),0))</x:f>
      </x:c>
      <x:c r="AA19" s="17"/>
      <x:c r="AB19" s="20" t="str">
        <x:f>IF(OR(J19="",V19=""),"",IF(J19=V19,"일치","불일치"))</x:f>
      </x:c>
      <x:c r="AC19" s="20" t="str">
        <x:f>IF(OR(K19="",W19=""),"",IF(K19=W19,"일치","불일치"))</x:f>
      </x:c>
      <x:c r="AD19" s="20" t="str">
        <x:f>IF(OR(N19="",Z19=""),"",ABS(N19-Z19))</x:f>
      </x:c>
      <x:c r="AE19" s="20" t="str">
        <x:f>IF(OR(AB19="",AD19=""),"",IF(AND(AB19="일치",AD19&lt;=1),"일치","검토"))</x:f>
      </x:c>
      <x:c r="AF19" s="17"/>
    </x:row>
    <x:row r="20">
      <x:c r="A20" s="17" t="n">
        <x:v>19</x:v>
      </x:c>
      <x:c r="B20" s="17" t="n">
        <x:v>2</x:v>
      </x:c>
      <x:c r="C20" s="17" t="str">
        <x:v>②</x:v>
      </x:c>
      <x:c r="D20" s="17"/>
      <x:c r="E20" s="17"/>
      <x:c r="F20" s="17"/>
      <x:c r="G20" s="17"/>
      <x:c r="H20" s="17"/>
      <x:c r="I20" s="17"/>
      <x:c r="J20" s="18" t="str">
        <x:f>IF(COUNTA(D20:I20)=0,"",IF(COUNTIF(D20:I20,"FAIL")&gt;0,"FAIL",IF(COUNTIF(D20:I20,"uncertain")&gt;0,"uncertain","PASS")))</x:f>
      </x:c>
      <x:c r="K20" s="17"/>
      <x:c r="L20" s="17"/>
      <x:c r="M20" s="17"/>
      <x:c r="N20" s="19" t="str">
        <x:f>IF(J20="","",IF(J20="PASS",SUM(L20:M20),0))</x:f>
      </x:c>
      <x:c r="O20" s="17"/>
      <x:c r="P20" s="17"/>
      <x:c r="Q20" s="17"/>
      <x:c r="R20" s="17"/>
      <x:c r="S20" s="17"/>
      <x:c r="T20" s="17"/>
      <x:c r="U20" s="17"/>
      <x:c r="V20" s="18" t="str">
        <x:f>IF(COUNTA(P20:U20)=0,"",IF(COUNTIF(P20:U20,"FAIL")&gt;0,"FAIL",IF(COUNTIF(P20:U20,"uncertain")&gt;0,"uncertain","PASS")))</x:f>
      </x:c>
      <x:c r="W20" s="17"/>
      <x:c r="X20" s="17"/>
      <x:c r="Y20" s="17"/>
      <x:c r="Z20" s="19" t="str">
        <x:f>IF(V20="","",IF(V20="PASS",SUM(X20:Y20),0))</x:f>
      </x:c>
      <x:c r="AA20" s="17"/>
      <x:c r="AB20" s="20" t="str">
        <x:f>IF(OR(J20="",V20=""),"",IF(J20=V20,"일치","불일치"))</x:f>
      </x:c>
      <x:c r="AC20" s="20" t="str">
        <x:f>IF(OR(K20="",W20=""),"",IF(K20=W20,"일치","불일치"))</x:f>
      </x:c>
      <x:c r="AD20" s="20" t="str">
        <x:f>IF(OR(N20="",Z20=""),"",ABS(N20-Z20))</x:f>
      </x:c>
      <x:c r="AE20" s="20" t="str">
        <x:f>IF(OR(AB20="",AD20=""),"",IF(AND(AB20="일치",AD20&lt;=1),"일치","검토"))</x:f>
      </x:c>
      <x:c r="AF20" s="17"/>
    </x:row>
    <x:row r="21">
      <x:c r="A21" s="17" t="n">
        <x:v>20</x:v>
      </x:c>
      <x:c r="B21" s="17" t="n">
        <x:v>2</x:v>
      </x:c>
      <x:c r="C21" s="17" t="str">
        <x:v>①</x:v>
      </x:c>
      <x:c r="D21" s="17"/>
      <x:c r="E21" s="17"/>
      <x:c r="F21" s="17"/>
      <x:c r="G21" s="17"/>
      <x:c r="H21" s="17"/>
      <x:c r="I21" s="17"/>
      <x:c r="J21" s="18" t="str">
        <x:f>IF(COUNTA(D21:I21)=0,"",IF(COUNTIF(D21:I21,"FAIL")&gt;0,"FAIL",IF(COUNTIF(D21:I21,"uncertain")&gt;0,"uncertain","PASS")))</x:f>
      </x:c>
      <x:c r="K21" s="17"/>
      <x:c r="L21" s="17"/>
      <x:c r="M21" s="17"/>
      <x:c r="N21" s="19" t="str">
        <x:f>IF(J21="","",IF(J21="PASS",SUM(L21:M21),0))</x:f>
      </x:c>
      <x:c r="O21" s="17"/>
      <x:c r="P21" s="17"/>
      <x:c r="Q21" s="17"/>
      <x:c r="R21" s="17"/>
      <x:c r="S21" s="17"/>
      <x:c r="T21" s="17"/>
      <x:c r="U21" s="17"/>
      <x:c r="V21" s="18" t="str">
        <x:f>IF(COUNTA(P21:U21)=0,"",IF(COUNTIF(P21:U21,"FAIL")&gt;0,"FAIL",IF(COUNTIF(P21:U21,"uncertain")&gt;0,"uncertain","PASS")))</x:f>
      </x:c>
      <x:c r="W21" s="17"/>
      <x:c r="X21" s="17"/>
      <x:c r="Y21" s="17"/>
      <x:c r="Z21" s="19" t="str">
        <x:f>IF(V21="","",IF(V21="PASS",SUM(X21:Y21),0))</x:f>
      </x:c>
      <x:c r="AA21" s="17"/>
      <x:c r="AB21" s="20" t="str">
        <x:f>IF(OR(J21="",V21=""),"",IF(J21=V21,"일치","불일치"))</x:f>
      </x:c>
      <x:c r="AC21" s="20" t="str">
        <x:f>IF(OR(K21="",W21=""),"",IF(K21=W21,"일치","불일치"))</x:f>
      </x:c>
      <x:c r="AD21" s="20" t="str">
        <x:f>IF(OR(N21="",Z21=""),"",ABS(N21-Z21))</x:f>
      </x:c>
      <x:c r="AE21" s="20" t="str">
        <x:f>IF(OR(AB21="",AD21=""),"",IF(AND(AB21="일치",AD21&lt;=1),"일치","검토"))</x:f>
      </x:c>
      <x:c r="AF21" s="17"/>
    </x:row>
    <x:row r="22">
      <x:c r="A22" s="17" t="n">
        <x:v>21</x:v>
      </x:c>
      <x:c r="B22" s="17" t="n">
        <x:v>2</x:v>
      </x:c>
      <x:c r="C22" s="17" t="str">
        <x:v>①</x:v>
      </x:c>
      <x:c r="D22" s="17"/>
      <x:c r="E22" s="17"/>
      <x:c r="F22" s="17"/>
      <x:c r="G22" s="17"/>
      <x:c r="H22" s="17"/>
      <x:c r="I22" s="17"/>
      <x:c r="J22" s="18" t="str">
        <x:f>IF(COUNTA(D22:I22)=0,"",IF(COUNTIF(D22:I22,"FAIL")&gt;0,"FAIL",IF(COUNTIF(D22:I22,"uncertain")&gt;0,"uncertain","PASS")))</x:f>
      </x:c>
      <x:c r="K22" s="17"/>
      <x:c r="L22" s="17"/>
      <x:c r="M22" s="17"/>
      <x:c r="N22" s="19" t="str">
        <x:f>IF(J22="","",IF(J22="PASS",SUM(L22:M22),0))</x:f>
      </x:c>
      <x:c r="O22" s="17"/>
      <x:c r="P22" s="17"/>
      <x:c r="Q22" s="17"/>
      <x:c r="R22" s="17"/>
      <x:c r="S22" s="17"/>
      <x:c r="T22" s="17"/>
      <x:c r="U22" s="17"/>
      <x:c r="V22" s="18" t="str">
        <x:f>IF(COUNTA(P22:U22)=0,"",IF(COUNTIF(P22:U22,"FAIL")&gt;0,"FAIL",IF(COUNTIF(P22:U22,"uncertain")&gt;0,"uncertain","PASS")))</x:f>
      </x:c>
      <x:c r="W22" s="17"/>
      <x:c r="X22" s="17"/>
      <x:c r="Y22" s="17"/>
      <x:c r="Z22" s="19" t="str">
        <x:f>IF(V22="","",IF(V22="PASS",SUM(X22:Y22),0))</x:f>
      </x:c>
      <x:c r="AA22" s="17"/>
      <x:c r="AB22" s="20" t="str">
        <x:f>IF(OR(J22="",V22=""),"",IF(J22=V22,"일치","불일치"))</x:f>
      </x:c>
      <x:c r="AC22" s="20" t="str">
        <x:f>IF(OR(K22="",W22=""),"",IF(K22=W22,"일치","불일치"))</x:f>
      </x:c>
      <x:c r="AD22" s="20" t="str">
        <x:f>IF(OR(N22="",Z22=""),"",ABS(N22-Z22))</x:f>
      </x:c>
      <x:c r="AE22" s="20" t="str">
        <x:f>IF(OR(AB22="",AD22=""),"",IF(AND(AB22="일치",AD22&lt;=1),"일치","검토"))</x:f>
      </x:c>
      <x:c r="AF22" s="17"/>
    </x:row>
    <x:row r="23">
      <x:c r="A23" s="17" t="n">
        <x:v>22</x:v>
      </x:c>
      <x:c r="B23" s="17" t="n">
        <x:v>2</x:v>
      </x:c>
      <x:c r="C23" s="17" t="str">
        <x:v>①</x:v>
      </x:c>
      <x:c r="D23" s="17"/>
      <x:c r="E23" s="17"/>
      <x:c r="F23" s="17"/>
      <x:c r="G23" s="17"/>
      <x:c r="H23" s="17"/>
      <x:c r="I23" s="17"/>
      <x:c r="J23" s="18" t="str">
        <x:f>IF(COUNTA(D23:I23)=0,"",IF(COUNTIF(D23:I23,"FAIL")&gt;0,"FAIL",IF(COUNTIF(D23:I23,"uncertain")&gt;0,"uncertain","PASS")))</x:f>
      </x:c>
      <x:c r="K23" s="17"/>
      <x:c r="L23" s="17"/>
      <x:c r="M23" s="17"/>
      <x:c r="N23" s="19" t="str">
        <x:f>IF(J23="","",IF(J23="PASS",SUM(L23:M23),0))</x:f>
      </x:c>
      <x:c r="O23" s="17"/>
      <x:c r="P23" s="17"/>
      <x:c r="Q23" s="17"/>
      <x:c r="R23" s="17"/>
      <x:c r="S23" s="17"/>
      <x:c r="T23" s="17"/>
      <x:c r="U23" s="17"/>
      <x:c r="V23" s="18" t="str">
        <x:f>IF(COUNTA(P23:U23)=0,"",IF(COUNTIF(P23:U23,"FAIL")&gt;0,"FAIL",IF(COUNTIF(P23:U23,"uncertain")&gt;0,"uncertain","PASS")))</x:f>
      </x:c>
      <x:c r="W23" s="17"/>
      <x:c r="X23" s="17"/>
      <x:c r="Y23" s="17"/>
      <x:c r="Z23" s="19" t="str">
        <x:f>IF(V23="","",IF(V23="PASS",SUM(X23:Y23),0))</x:f>
      </x:c>
      <x:c r="AA23" s="17"/>
      <x:c r="AB23" s="20" t="str">
        <x:f>IF(OR(J23="",V23=""),"",IF(J23=V23,"일치","불일치"))</x:f>
      </x:c>
      <x:c r="AC23" s="20" t="str">
        <x:f>IF(OR(K23="",W23=""),"",IF(K23=W23,"일치","불일치"))</x:f>
      </x:c>
      <x:c r="AD23" s="20" t="str">
        <x:f>IF(OR(N23="",Z23=""),"",ABS(N23-Z23))</x:f>
      </x:c>
      <x:c r="AE23" s="20" t="str">
        <x:f>IF(OR(AB23="",AD23=""),"",IF(AND(AB23="일치",AD23&lt;=1),"일치","검토"))</x:f>
      </x:c>
      <x:c r="AF23" s="17"/>
    </x:row>
    <x:row r="24">
      <x:c r="A24" s="17" t="n">
        <x:v>23</x:v>
      </x:c>
      <x:c r="B24" s="17" t="n">
        <x:v>2</x:v>
      </x:c>
      <x:c r="C24" s="17" t="str">
        <x:v>③</x:v>
      </x:c>
      <x:c r="D24" s="17"/>
      <x:c r="E24" s="17"/>
      <x:c r="F24" s="17"/>
      <x:c r="G24" s="17"/>
      <x:c r="H24" s="17"/>
      <x:c r="I24" s="17"/>
      <x:c r="J24" s="18" t="str">
        <x:f>IF(COUNTA(D24:I24)=0,"",IF(COUNTIF(D24:I24,"FAIL")&gt;0,"FAIL",IF(COUNTIF(D24:I24,"uncertain")&gt;0,"uncertain","PASS")))</x:f>
      </x:c>
      <x:c r="K24" s="17"/>
      <x:c r="L24" s="17"/>
      <x:c r="M24" s="17"/>
      <x:c r="N24" s="19" t="str">
        <x:f>IF(J24="","",IF(J24="PASS",SUM(L24:M24),0))</x:f>
      </x:c>
      <x:c r="O24" s="17"/>
      <x:c r="P24" s="17"/>
      <x:c r="Q24" s="17"/>
      <x:c r="R24" s="17"/>
      <x:c r="S24" s="17"/>
      <x:c r="T24" s="17"/>
      <x:c r="U24" s="17"/>
      <x:c r="V24" s="18" t="str">
        <x:f>IF(COUNTA(P24:U24)=0,"",IF(COUNTIF(P24:U24,"FAIL")&gt;0,"FAIL",IF(COUNTIF(P24:U24,"uncertain")&gt;0,"uncertain","PASS")))</x:f>
      </x:c>
      <x:c r="W24" s="17"/>
      <x:c r="X24" s="17"/>
      <x:c r="Y24" s="17"/>
      <x:c r="Z24" s="19" t="str">
        <x:f>IF(V24="","",IF(V24="PASS",SUM(X24:Y24),0))</x:f>
      </x:c>
      <x:c r="AA24" s="17"/>
      <x:c r="AB24" s="20" t="str">
        <x:f>IF(OR(J24="",V24=""),"",IF(J24=V24,"일치","불일치"))</x:f>
      </x:c>
      <x:c r="AC24" s="20" t="str">
        <x:f>IF(OR(K24="",W24=""),"",IF(K24=W24,"일치","불일치"))</x:f>
      </x:c>
      <x:c r="AD24" s="20" t="str">
        <x:f>IF(OR(N24="",Z24=""),"",ABS(N24-Z24))</x:f>
      </x:c>
      <x:c r="AE24" s="20" t="str">
        <x:f>IF(OR(AB24="",AD24=""),"",IF(AND(AB24="일치",AD24&lt;=1),"일치","검토"))</x:f>
      </x:c>
      <x:c r="AF24" s="17"/>
    </x:row>
    <x:row r="25">
      <x:c r="A25" s="17" t="n">
        <x:v>24</x:v>
      </x:c>
      <x:c r="B25" s="17" t="n">
        <x:v>2</x:v>
      </x:c>
      <x:c r="C25" s="17" t="str">
        <x:v>①</x:v>
      </x:c>
      <x:c r="D25" s="17"/>
      <x:c r="E25" s="17"/>
      <x:c r="F25" s="17"/>
      <x:c r="G25" s="17"/>
      <x:c r="H25" s="17"/>
      <x:c r="I25" s="17"/>
      <x:c r="J25" s="18" t="str">
        <x:f>IF(COUNTA(D25:I25)=0,"",IF(COUNTIF(D25:I25,"FAIL")&gt;0,"FAIL",IF(COUNTIF(D25:I25,"uncertain")&gt;0,"uncertain","PASS")))</x:f>
      </x:c>
      <x:c r="K25" s="17"/>
      <x:c r="L25" s="17"/>
      <x:c r="M25" s="17"/>
      <x:c r="N25" s="19" t="str">
        <x:f>IF(J25="","",IF(J25="PASS",SUM(L25:M25),0))</x:f>
      </x:c>
      <x:c r="O25" s="17"/>
      <x:c r="P25" s="17"/>
      <x:c r="Q25" s="17"/>
      <x:c r="R25" s="17"/>
      <x:c r="S25" s="17"/>
      <x:c r="T25" s="17"/>
      <x:c r="U25" s="17"/>
      <x:c r="V25" s="18" t="str">
        <x:f>IF(COUNTA(P25:U25)=0,"",IF(COUNTIF(P25:U25,"FAIL")&gt;0,"FAIL",IF(COUNTIF(P25:U25,"uncertain")&gt;0,"uncertain","PASS")))</x:f>
      </x:c>
      <x:c r="W25" s="17"/>
      <x:c r="X25" s="17"/>
      <x:c r="Y25" s="17"/>
      <x:c r="Z25" s="19" t="str">
        <x:f>IF(V25="","",IF(V25="PASS",SUM(X25:Y25),0))</x:f>
      </x:c>
      <x:c r="AA25" s="17"/>
      <x:c r="AB25" s="20" t="str">
        <x:f>IF(OR(J25="",V25=""),"",IF(J25=V25,"일치","불일치"))</x:f>
      </x:c>
      <x:c r="AC25" s="20" t="str">
        <x:f>IF(OR(K25="",W25=""),"",IF(K25=W25,"일치","불일치"))</x:f>
      </x:c>
      <x:c r="AD25" s="20" t="str">
        <x:f>IF(OR(N25="",Z25=""),"",ABS(N25-Z25))</x:f>
      </x:c>
      <x:c r="AE25" s="20" t="str">
        <x:f>IF(OR(AB25="",AD25=""),"",IF(AND(AB25="일치",AD25&lt;=1),"일치","검토"))</x:f>
      </x:c>
      <x:c r="AF25" s="17"/>
    </x:row>
    <x:row r="26">
      <x:c r="A26" s="17" t="n">
        <x:v>25</x:v>
      </x:c>
      <x:c r="B26" s="17" t="n">
        <x:v>2</x:v>
      </x:c>
      <x:c r="C26" s="17" t="str">
        <x:v>②</x:v>
      </x:c>
      <x:c r="D26" s="17"/>
      <x:c r="E26" s="17"/>
      <x:c r="F26" s="17"/>
      <x:c r="G26" s="17"/>
      <x:c r="H26" s="17"/>
      <x:c r="I26" s="17"/>
      <x:c r="J26" s="18" t="str">
        <x:f>IF(COUNTA(D26:I26)=0,"",IF(COUNTIF(D26:I26,"FAIL")&gt;0,"FAIL",IF(COUNTIF(D26:I26,"uncertain")&gt;0,"uncertain","PASS")))</x:f>
      </x:c>
      <x:c r="K26" s="17"/>
      <x:c r="L26" s="17"/>
      <x:c r="M26" s="17"/>
      <x:c r="N26" s="19" t="str">
        <x:f>IF(J26="","",IF(J26="PASS",SUM(L26:M26),0))</x:f>
      </x:c>
      <x:c r="O26" s="17"/>
      <x:c r="P26" s="17"/>
      <x:c r="Q26" s="17"/>
      <x:c r="R26" s="17"/>
      <x:c r="S26" s="17"/>
      <x:c r="T26" s="17"/>
      <x:c r="U26" s="17"/>
      <x:c r="V26" s="18" t="str">
        <x:f>IF(COUNTA(P26:U26)=0,"",IF(COUNTIF(P26:U26,"FAIL")&gt;0,"FAIL",IF(COUNTIF(P26:U26,"uncertain")&gt;0,"uncertain","PASS")))</x:f>
      </x:c>
      <x:c r="W26" s="17"/>
      <x:c r="X26" s="17"/>
      <x:c r="Y26" s="17"/>
      <x:c r="Z26" s="19" t="str">
        <x:f>IF(V26="","",IF(V26="PASS",SUM(X26:Y26),0))</x:f>
      </x:c>
      <x:c r="AA26" s="17"/>
      <x:c r="AB26" s="20" t="str">
        <x:f>IF(OR(J26="",V26=""),"",IF(J26=V26,"일치","불일치"))</x:f>
      </x:c>
      <x:c r="AC26" s="20" t="str">
        <x:f>IF(OR(K26="",W26=""),"",IF(K26=W26,"일치","불일치"))</x:f>
      </x:c>
      <x:c r="AD26" s="20" t="str">
        <x:f>IF(OR(N26="",Z26=""),"",ABS(N26-Z26))</x:f>
      </x:c>
      <x:c r="AE26" s="20" t="str">
        <x:f>IF(OR(AB26="",AD26=""),"",IF(AND(AB26="일치",AD26&lt;=1),"일치","검토"))</x:f>
      </x:c>
      <x:c r="AF26" s="17"/>
    </x:row>
    <x:row r="27">
      <x:c r="A27" s="17" t="n">
        <x:v>26</x:v>
      </x:c>
      <x:c r="B27" s="17" t="n">
        <x:v>2</x:v>
      </x:c>
      <x:c r="C27" s="17" t="str">
        <x:v>③</x:v>
      </x:c>
      <x:c r="D27" s="17"/>
      <x:c r="E27" s="17"/>
      <x:c r="F27" s="17"/>
      <x:c r="G27" s="17"/>
      <x:c r="H27" s="17"/>
      <x:c r="I27" s="17"/>
      <x:c r="J27" s="18" t="str">
        <x:f>IF(COUNTA(D27:I27)=0,"",IF(COUNTIF(D27:I27,"FAIL")&gt;0,"FAIL",IF(COUNTIF(D27:I27,"uncertain")&gt;0,"uncertain","PASS")))</x:f>
      </x:c>
      <x:c r="K27" s="17"/>
      <x:c r="L27" s="17"/>
      <x:c r="M27" s="17"/>
      <x:c r="N27" s="19" t="str">
        <x:f>IF(J27="","",IF(J27="PASS",SUM(L27:M27),0))</x:f>
      </x:c>
      <x:c r="O27" s="17"/>
      <x:c r="P27" s="17"/>
      <x:c r="Q27" s="17"/>
      <x:c r="R27" s="17"/>
      <x:c r="S27" s="17"/>
      <x:c r="T27" s="17"/>
      <x:c r="U27" s="17"/>
      <x:c r="V27" s="18" t="str">
        <x:f>IF(COUNTA(P27:U27)=0,"",IF(COUNTIF(P27:U27,"FAIL")&gt;0,"FAIL",IF(COUNTIF(P27:U27,"uncertain")&gt;0,"uncertain","PASS")))</x:f>
      </x:c>
      <x:c r="W27" s="17"/>
      <x:c r="X27" s="17"/>
      <x:c r="Y27" s="17"/>
      <x:c r="Z27" s="19" t="str">
        <x:f>IF(V27="","",IF(V27="PASS",SUM(X27:Y27),0))</x:f>
      </x:c>
      <x:c r="AA27" s="17"/>
      <x:c r="AB27" s="20" t="str">
        <x:f>IF(OR(J27="",V27=""),"",IF(J27=V27,"일치","불일치"))</x:f>
      </x:c>
      <x:c r="AC27" s="20" t="str">
        <x:f>IF(OR(K27="",W27=""),"",IF(K27=W27,"일치","불일치"))</x:f>
      </x:c>
      <x:c r="AD27" s="20" t="str">
        <x:f>IF(OR(N27="",Z27=""),"",ABS(N27-Z27))</x:f>
      </x:c>
      <x:c r="AE27" s="20" t="str">
        <x:f>IF(OR(AB27="",AD27=""),"",IF(AND(AB27="일치",AD27&lt;=1),"일치","검토"))</x:f>
      </x:c>
      <x:c r="AF27" s="17"/>
    </x:row>
    <x:row r="28">
      <x:c r="A28" s="17" t="n">
        <x:v>27</x:v>
      </x:c>
      <x:c r="B28" s="17" t="n">
        <x:v>2</x:v>
      </x:c>
      <x:c r="C28" s="17" t="str">
        <x:v>①</x:v>
      </x:c>
      <x:c r="D28" s="17"/>
      <x:c r="E28" s="17"/>
      <x:c r="F28" s="17"/>
      <x:c r="G28" s="17"/>
      <x:c r="H28" s="17"/>
      <x:c r="I28" s="17"/>
      <x:c r="J28" s="18" t="str">
        <x:f>IF(COUNTA(D28:I28)=0,"",IF(COUNTIF(D28:I28,"FAIL")&gt;0,"FAIL",IF(COUNTIF(D28:I28,"uncertain")&gt;0,"uncertain","PASS")))</x:f>
      </x:c>
      <x:c r="K28" s="17"/>
      <x:c r="L28" s="17"/>
      <x:c r="M28" s="17"/>
      <x:c r="N28" s="19" t="str">
        <x:f>IF(J28="","",IF(J28="PASS",SUM(L28:M28),0))</x:f>
      </x:c>
      <x:c r="O28" s="17"/>
      <x:c r="P28" s="17"/>
      <x:c r="Q28" s="17"/>
      <x:c r="R28" s="17"/>
      <x:c r="S28" s="17"/>
      <x:c r="T28" s="17"/>
      <x:c r="U28" s="17"/>
      <x:c r="V28" s="18" t="str">
        <x:f>IF(COUNTA(P28:U28)=0,"",IF(COUNTIF(P28:U28,"FAIL")&gt;0,"FAIL",IF(COUNTIF(P28:U28,"uncertain")&gt;0,"uncertain","PASS")))</x:f>
      </x:c>
      <x:c r="W28" s="17"/>
      <x:c r="X28" s="17"/>
      <x:c r="Y28" s="17"/>
      <x:c r="Z28" s="19" t="str">
        <x:f>IF(V28="","",IF(V28="PASS",SUM(X28:Y28),0))</x:f>
      </x:c>
      <x:c r="AA28" s="17"/>
      <x:c r="AB28" s="20" t="str">
        <x:f>IF(OR(J28="",V28=""),"",IF(J28=V28,"일치","불일치"))</x:f>
      </x:c>
      <x:c r="AC28" s="20" t="str">
        <x:f>IF(OR(K28="",W28=""),"",IF(K28=W28,"일치","불일치"))</x:f>
      </x:c>
      <x:c r="AD28" s="20" t="str">
        <x:f>IF(OR(N28="",Z28=""),"",ABS(N28-Z28))</x:f>
      </x:c>
      <x:c r="AE28" s="20" t="str">
        <x:f>IF(OR(AB28="",AD28=""),"",IF(AND(AB28="일치",AD28&lt;=1),"일치","검토"))</x:f>
      </x:c>
      <x:c r="AF28" s="17"/>
    </x:row>
    <x:row r="29">
      <x:c r="A29" s="17" t="n">
        <x:v>28</x:v>
      </x:c>
      <x:c r="B29" s="17" t="n">
        <x:v>2</x:v>
      </x:c>
      <x:c r="C29" s="17" t="str">
        <x:v>②</x:v>
      </x:c>
      <x:c r="D29" s="17"/>
      <x:c r="E29" s="17"/>
      <x:c r="F29" s="17"/>
      <x:c r="G29" s="17"/>
      <x:c r="H29" s="17"/>
      <x:c r="I29" s="17"/>
      <x:c r="J29" s="18" t="str">
        <x:f>IF(COUNTA(D29:I29)=0,"",IF(COUNTIF(D29:I29,"FAIL")&gt;0,"FAIL",IF(COUNTIF(D29:I29,"uncertain")&gt;0,"uncertain","PASS")))</x:f>
      </x:c>
      <x:c r="K29" s="17"/>
      <x:c r="L29" s="17"/>
      <x:c r="M29" s="17"/>
      <x:c r="N29" s="19" t="str">
        <x:f>IF(J29="","",IF(J29="PASS",SUM(L29:M29),0))</x:f>
      </x:c>
      <x:c r="O29" s="17"/>
      <x:c r="P29" s="17"/>
      <x:c r="Q29" s="17"/>
      <x:c r="R29" s="17"/>
      <x:c r="S29" s="17"/>
      <x:c r="T29" s="17"/>
      <x:c r="U29" s="17"/>
      <x:c r="V29" s="18" t="str">
        <x:f>IF(COUNTA(P29:U29)=0,"",IF(COUNTIF(P29:U29,"FAIL")&gt;0,"FAIL",IF(COUNTIF(P29:U29,"uncertain")&gt;0,"uncertain","PASS")))</x:f>
      </x:c>
      <x:c r="W29" s="17"/>
      <x:c r="X29" s="17"/>
      <x:c r="Y29" s="17"/>
      <x:c r="Z29" s="19" t="str">
        <x:f>IF(V29="","",IF(V29="PASS",SUM(X29:Y29),0))</x:f>
      </x:c>
      <x:c r="AA29" s="17"/>
      <x:c r="AB29" s="20" t="str">
        <x:f>IF(OR(J29="",V29=""),"",IF(J29=V29,"일치","불일치"))</x:f>
      </x:c>
      <x:c r="AC29" s="20" t="str">
        <x:f>IF(OR(K29="",W29=""),"",IF(K29=W29,"일치","불일치"))</x:f>
      </x:c>
      <x:c r="AD29" s="20" t="str">
        <x:f>IF(OR(N29="",Z29=""),"",ABS(N29-Z29))</x:f>
      </x:c>
      <x:c r="AE29" s="20" t="str">
        <x:f>IF(OR(AB29="",AD29=""),"",IF(AND(AB29="일치",AD29&lt;=1),"일치","검토"))</x:f>
      </x:c>
      <x:c r="AF29" s="17"/>
    </x:row>
    <x:row r="30">
      <x:c r="A30" s="17" t="n">
        <x:v>29</x:v>
      </x:c>
      <x:c r="B30" s="17" t="n">
        <x:v>3</x:v>
      </x:c>
      <x:c r="C30" s="17" t="str">
        <x:v>①</x:v>
      </x:c>
      <x:c r="D30" s="17"/>
      <x:c r="E30" s="17"/>
      <x:c r="F30" s="17"/>
      <x:c r="G30" s="17"/>
      <x:c r="H30" s="17"/>
      <x:c r="I30" s="17"/>
      <x:c r="J30" s="18" t="str">
        <x:f>IF(COUNTA(D30:I30)=0,"",IF(COUNTIF(D30:I30,"FAIL")&gt;0,"FAIL",IF(COUNTIF(D30:I30,"uncertain")&gt;0,"uncertain","PASS")))</x:f>
      </x:c>
      <x:c r="K30" s="17"/>
      <x:c r="L30" s="17"/>
      <x:c r="M30" s="17"/>
      <x:c r="N30" s="19" t="str">
        <x:f>IF(J30="","",IF(J30="PASS",SUM(L30:M30),0))</x:f>
      </x:c>
      <x:c r="O30" s="17"/>
      <x:c r="P30" s="17"/>
      <x:c r="Q30" s="17"/>
      <x:c r="R30" s="17"/>
      <x:c r="S30" s="17"/>
      <x:c r="T30" s="17"/>
      <x:c r="U30" s="17"/>
      <x:c r="V30" s="18" t="str">
        <x:f>IF(COUNTA(P30:U30)=0,"",IF(COUNTIF(P30:U30,"FAIL")&gt;0,"FAIL",IF(COUNTIF(P30:U30,"uncertain")&gt;0,"uncertain","PASS")))</x:f>
      </x:c>
      <x:c r="W30" s="17"/>
      <x:c r="X30" s="17"/>
      <x:c r="Y30" s="17"/>
      <x:c r="Z30" s="19" t="str">
        <x:f>IF(V30="","",IF(V30="PASS",SUM(X30:Y30),0))</x:f>
      </x:c>
      <x:c r="AA30" s="17"/>
      <x:c r="AB30" s="20" t="str">
        <x:f>IF(OR(J30="",V30=""),"",IF(J30=V30,"일치","불일치"))</x:f>
      </x:c>
      <x:c r="AC30" s="20" t="str">
        <x:f>IF(OR(K30="",W30=""),"",IF(K30=W30,"일치","불일치"))</x:f>
      </x:c>
      <x:c r="AD30" s="20" t="str">
        <x:f>IF(OR(N30="",Z30=""),"",ABS(N30-Z30))</x:f>
      </x:c>
      <x:c r="AE30" s="20" t="str">
        <x:f>IF(OR(AB30="",AD30=""),"",IF(AND(AB30="일치",AD30&lt;=1),"일치","검토"))</x:f>
      </x:c>
      <x:c r="AF30" s="17"/>
    </x:row>
    <x:row r="31">
      <x:c r="A31" s="17" t="n">
        <x:v>30</x:v>
      </x:c>
      <x:c r="B31" s="17" t="n">
        <x:v>2</x:v>
      </x:c>
      <x:c r="C31" s="17" t="str">
        <x:v>①</x:v>
      </x:c>
      <x:c r="D31" s="17"/>
      <x:c r="E31" s="17"/>
      <x:c r="F31" s="17"/>
      <x:c r="G31" s="17"/>
      <x:c r="H31" s="17"/>
      <x:c r="I31" s="17"/>
      <x:c r="J31" s="18" t="str">
        <x:f>IF(COUNTA(D31:I31)=0,"",IF(COUNTIF(D31:I31,"FAIL")&gt;0,"FAIL",IF(COUNTIF(D31:I31,"uncertain")&gt;0,"uncertain","PASS")))</x:f>
      </x:c>
      <x:c r="K31" s="17"/>
      <x:c r="L31" s="17"/>
      <x:c r="M31" s="17"/>
      <x:c r="N31" s="19" t="str">
        <x:f>IF(J31="","",IF(J31="PASS",SUM(L31:M31),0))</x:f>
      </x:c>
      <x:c r="O31" s="17"/>
      <x:c r="P31" s="17"/>
      <x:c r="Q31" s="17"/>
      <x:c r="R31" s="17"/>
      <x:c r="S31" s="17"/>
      <x:c r="T31" s="17"/>
      <x:c r="U31" s="17"/>
      <x:c r="V31" s="18" t="str">
        <x:f>IF(COUNTA(P31:U31)=0,"",IF(COUNTIF(P31:U31,"FAIL")&gt;0,"FAIL",IF(COUNTIF(P31:U31,"uncertain")&gt;0,"uncertain","PASS")))</x:f>
      </x:c>
      <x:c r="W31" s="17"/>
      <x:c r="X31" s="17"/>
      <x:c r="Y31" s="17"/>
      <x:c r="Z31" s="19" t="str">
        <x:f>IF(V31="","",IF(V31="PASS",SUM(X31:Y31),0))</x:f>
      </x:c>
      <x:c r="AA31" s="17"/>
      <x:c r="AB31" s="20" t="str">
        <x:f>IF(OR(J31="",V31=""),"",IF(J31=V31,"일치","불일치"))</x:f>
      </x:c>
      <x:c r="AC31" s="20" t="str">
        <x:f>IF(OR(K31="",W31=""),"",IF(K31=W31,"일치","불일치"))</x:f>
      </x:c>
      <x:c r="AD31" s="20" t="str">
        <x:f>IF(OR(N31="",Z31=""),"",ABS(N31-Z31))</x:f>
      </x:c>
      <x:c r="AE31" s="20" t="str">
        <x:f>IF(OR(AB31="",AD31=""),"",IF(AND(AB31="일치",AD31&lt;=1),"일치","검토"))</x:f>
      </x:c>
      <x:c r="AF31" s="17"/>
    </x:row>
    <x:row r="32">
      <x:c r="A32" s="17" t="n">
        <x:v>31</x:v>
      </x:c>
      <x:c r="B32" s="17" t="n">
        <x:v>2</x:v>
      </x:c>
      <x:c r="C32" s="17" t="str">
        <x:v>②</x:v>
      </x:c>
      <x:c r="D32" s="17"/>
      <x:c r="E32" s="17"/>
      <x:c r="F32" s="17"/>
      <x:c r="G32" s="17"/>
      <x:c r="H32" s="17"/>
      <x:c r="I32" s="17"/>
      <x:c r="J32" s="18" t="str">
        <x:f>IF(COUNTA(D32:I32)=0,"",IF(COUNTIF(D32:I32,"FAIL")&gt;0,"FAIL",IF(COUNTIF(D32:I32,"uncertain")&gt;0,"uncertain","PASS")))</x:f>
      </x:c>
      <x:c r="K32" s="17"/>
      <x:c r="L32" s="17"/>
      <x:c r="M32" s="17"/>
      <x:c r="N32" s="19" t="str">
        <x:f>IF(J32="","",IF(J32="PASS",SUM(L32:M32),0))</x:f>
      </x:c>
      <x:c r="O32" s="17"/>
      <x:c r="P32" s="17"/>
      <x:c r="Q32" s="17"/>
      <x:c r="R32" s="17"/>
      <x:c r="S32" s="17"/>
      <x:c r="T32" s="17"/>
      <x:c r="U32" s="17"/>
      <x:c r="V32" s="18" t="str">
        <x:f>IF(COUNTA(P32:U32)=0,"",IF(COUNTIF(P32:U32,"FAIL")&gt;0,"FAIL",IF(COUNTIF(P32:U32,"uncertain")&gt;0,"uncertain","PASS")))</x:f>
      </x:c>
      <x:c r="W32" s="17"/>
      <x:c r="X32" s="17"/>
      <x:c r="Y32" s="17"/>
      <x:c r="Z32" s="19" t="str">
        <x:f>IF(V32="","",IF(V32="PASS",SUM(X32:Y32),0))</x:f>
      </x:c>
      <x:c r="AA32" s="17"/>
      <x:c r="AB32" s="20" t="str">
        <x:f>IF(OR(J32="",V32=""),"",IF(J32=V32,"일치","불일치"))</x:f>
      </x:c>
      <x:c r="AC32" s="20" t="str">
        <x:f>IF(OR(K32="",W32=""),"",IF(K32=W32,"일치","불일치"))</x:f>
      </x:c>
      <x:c r="AD32" s="20" t="str">
        <x:f>IF(OR(N32="",Z32=""),"",ABS(N32-Z32))</x:f>
      </x:c>
      <x:c r="AE32" s="20" t="str">
        <x:f>IF(OR(AB32="",AD32=""),"",IF(AND(AB32="일치",AD32&lt;=1),"일치","검토"))</x:f>
      </x:c>
      <x:c r="AF32" s="17"/>
    </x:row>
    <x:row r="33">
      <x:c r="A33" s="17" t="n">
        <x:v>32</x:v>
      </x:c>
      <x:c r="B33" s="17" t="n">
        <x:v>2</x:v>
      </x:c>
      <x:c r="C33" s="17" t="str">
        <x:v>②</x:v>
      </x:c>
      <x:c r="D33" s="17"/>
      <x:c r="E33" s="17"/>
      <x:c r="F33" s="17"/>
      <x:c r="G33" s="17"/>
      <x:c r="H33" s="17"/>
      <x:c r="I33" s="17"/>
      <x:c r="J33" s="18" t="str">
        <x:f>IF(COUNTA(D33:I33)=0,"",IF(COUNTIF(D33:I33,"FAIL")&gt;0,"FAIL",IF(COUNTIF(D33:I33,"uncertain")&gt;0,"uncertain","PASS")))</x:f>
      </x:c>
      <x:c r="K33" s="17"/>
      <x:c r="L33" s="17"/>
      <x:c r="M33" s="17"/>
      <x:c r="N33" s="19" t="str">
        <x:f>IF(J33="","",IF(J33="PASS",SUM(L33:M33),0))</x:f>
      </x:c>
      <x:c r="O33" s="17"/>
      <x:c r="P33" s="17"/>
      <x:c r="Q33" s="17"/>
      <x:c r="R33" s="17"/>
      <x:c r="S33" s="17"/>
      <x:c r="T33" s="17"/>
      <x:c r="U33" s="17"/>
      <x:c r="V33" s="18" t="str">
        <x:f>IF(COUNTA(P33:U33)=0,"",IF(COUNTIF(P33:U33,"FAIL")&gt;0,"FAIL",IF(COUNTIF(P33:U33,"uncertain")&gt;0,"uncertain","PASS")))</x:f>
      </x:c>
      <x:c r="W33" s="17"/>
      <x:c r="X33" s="17"/>
      <x:c r="Y33" s="17"/>
      <x:c r="Z33" s="19" t="str">
        <x:f>IF(V33="","",IF(V33="PASS",SUM(X33:Y33),0))</x:f>
      </x:c>
      <x:c r="AA33" s="17"/>
      <x:c r="AB33" s="20" t="str">
        <x:f>IF(OR(J33="",V33=""),"",IF(J33=V33,"일치","불일치"))</x:f>
      </x:c>
      <x:c r="AC33" s="20" t="str">
        <x:f>IF(OR(K33="",W33=""),"",IF(K33=W33,"일치","불일치"))</x:f>
      </x:c>
      <x:c r="AD33" s="20" t="str">
        <x:f>IF(OR(N33="",Z33=""),"",ABS(N33-Z33))</x:f>
      </x:c>
      <x:c r="AE33" s="20" t="str">
        <x:f>IF(OR(AB33="",AD33=""),"",IF(AND(AB33="일치",AD33&lt;=1),"일치","검토"))</x:f>
      </x:c>
      <x:c r="AF33" s="17"/>
    </x:row>
    <x:row r="34">
      <x:c r="A34" s="17" t="n">
        <x:v>33</x:v>
      </x:c>
      <x:c r="B34" s="17" t="n">
        <x:v>2</x:v>
      </x:c>
      <x:c r="C34" s="17" t="str">
        <x:v>①</x:v>
      </x:c>
      <x:c r="D34" s="17"/>
      <x:c r="E34" s="17"/>
      <x:c r="F34" s="17"/>
      <x:c r="G34" s="17"/>
      <x:c r="H34" s="17"/>
      <x:c r="I34" s="17"/>
      <x:c r="J34" s="18" t="str">
        <x:f>IF(COUNTA(D34:I34)=0,"",IF(COUNTIF(D34:I34,"FAIL")&gt;0,"FAIL",IF(COUNTIF(D34:I34,"uncertain")&gt;0,"uncertain","PASS")))</x:f>
      </x:c>
      <x:c r="K34" s="17"/>
      <x:c r="L34" s="17"/>
      <x:c r="M34" s="17"/>
      <x:c r="N34" s="19" t="str">
        <x:f>IF(J34="","",IF(J34="PASS",SUM(L34:M34),0))</x:f>
      </x:c>
      <x:c r="O34" s="17"/>
      <x:c r="P34" s="17"/>
      <x:c r="Q34" s="17"/>
      <x:c r="R34" s="17"/>
      <x:c r="S34" s="17"/>
      <x:c r="T34" s="17"/>
      <x:c r="U34" s="17"/>
      <x:c r="V34" s="18" t="str">
        <x:f>IF(COUNTA(P34:U34)=0,"",IF(COUNTIF(P34:U34,"FAIL")&gt;0,"FAIL",IF(COUNTIF(P34:U34,"uncertain")&gt;0,"uncertain","PASS")))</x:f>
      </x:c>
      <x:c r="W34" s="17"/>
      <x:c r="X34" s="17"/>
      <x:c r="Y34" s="17"/>
      <x:c r="Z34" s="19" t="str">
        <x:f>IF(V34="","",IF(V34="PASS",SUM(X34:Y34),0))</x:f>
      </x:c>
      <x:c r="AA34" s="17"/>
      <x:c r="AB34" s="20" t="str">
        <x:f>IF(OR(J34="",V34=""),"",IF(J34=V34,"일치","불일치"))</x:f>
      </x:c>
      <x:c r="AC34" s="20" t="str">
        <x:f>IF(OR(K34="",W34=""),"",IF(K34=W34,"일치","불일치"))</x:f>
      </x:c>
      <x:c r="AD34" s="20" t="str">
        <x:f>IF(OR(N34="",Z34=""),"",ABS(N34-Z34))</x:f>
      </x:c>
      <x:c r="AE34" s="20" t="str">
        <x:f>IF(OR(AB34="",AD34=""),"",IF(AND(AB34="일치",AD34&lt;=1),"일치","검토"))</x:f>
      </x:c>
      <x:c r="AF34" s="17"/>
    </x:row>
    <x:row r="35">
      <x:c r="A35" s="17" t="n">
        <x:v>34</x:v>
      </x:c>
      <x:c r="B35" s="17" t="n">
        <x:v>2</x:v>
      </x:c>
      <x:c r="C35" s="17" t="str">
        <x:v>③</x:v>
      </x:c>
      <x:c r="D35" s="17"/>
      <x:c r="E35" s="17"/>
      <x:c r="F35" s="17"/>
      <x:c r="G35" s="17"/>
      <x:c r="H35" s="17"/>
      <x:c r="I35" s="17"/>
      <x:c r="J35" s="18" t="str">
        <x:f>IF(COUNTA(D35:I35)=0,"",IF(COUNTIF(D35:I35,"FAIL")&gt;0,"FAIL",IF(COUNTIF(D35:I35,"uncertain")&gt;0,"uncertain","PASS")))</x:f>
      </x:c>
      <x:c r="K35" s="17"/>
      <x:c r="L35" s="17"/>
      <x:c r="M35" s="17"/>
      <x:c r="N35" s="19" t="str">
        <x:f>IF(J35="","",IF(J35="PASS",SUM(L35:M35),0))</x:f>
      </x:c>
      <x:c r="O35" s="17"/>
      <x:c r="P35" s="17"/>
      <x:c r="Q35" s="17"/>
      <x:c r="R35" s="17"/>
      <x:c r="S35" s="17"/>
      <x:c r="T35" s="17"/>
      <x:c r="U35" s="17"/>
      <x:c r="V35" s="18" t="str">
        <x:f>IF(COUNTA(P35:U35)=0,"",IF(COUNTIF(P35:U35,"FAIL")&gt;0,"FAIL",IF(COUNTIF(P35:U35,"uncertain")&gt;0,"uncertain","PASS")))</x:f>
      </x:c>
      <x:c r="W35" s="17"/>
      <x:c r="X35" s="17"/>
      <x:c r="Y35" s="17"/>
      <x:c r="Z35" s="19" t="str">
        <x:f>IF(V35="","",IF(V35="PASS",SUM(X35:Y35),0))</x:f>
      </x:c>
      <x:c r="AA35" s="17"/>
      <x:c r="AB35" s="20" t="str">
        <x:f>IF(OR(J35="",V35=""),"",IF(J35=V35,"일치","불일치"))</x:f>
      </x:c>
      <x:c r="AC35" s="20" t="str">
        <x:f>IF(OR(K35="",W35=""),"",IF(K35=W35,"일치","불일치"))</x:f>
      </x:c>
      <x:c r="AD35" s="20" t="str">
        <x:f>IF(OR(N35="",Z35=""),"",ABS(N35-Z35))</x:f>
      </x:c>
      <x:c r="AE35" s="20" t="str">
        <x:f>IF(OR(AB35="",AD35=""),"",IF(AND(AB35="일치",AD35&lt;=1),"일치","검토"))</x:f>
      </x:c>
      <x:c r="AF35" s="17"/>
    </x:row>
    <x:row r="36">
      <x:c r="A36" s="17" t="n">
        <x:v>35</x:v>
      </x:c>
      <x:c r="B36" s="17" t="n">
        <x:v>2</x:v>
      </x:c>
      <x:c r="C36" s="17" t="str">
        <x:v>①</x:v>
      </x:c>
      <x:c r="D36" s="17"/>
      <x:c r="E36" s="17"/>
      <x:c r="F36" s="17"/>
      <x:c r="G36" s="17"/>
      <x:c r="H36" s="17"/>
      <x:c r="I36" s="17"/>
      <x:c r="J36" s="18" t="str">
        <x:f>IF(COUNTA(D36:I36)=0,"",IF(COUNTIF(D36:I36,"FAIL")&gt;0,"FAIL",IF(COUNTIF(D36:I36,"uncertain")&gt;0,"uncertain","PASS")))</x:f>
      </x:c>
      <x:c r="K36" s="17"/>
      <x:c r="L36" s="17"/>
      <x:c r="M36" s="17"/>
      <x:c r="N36" s="19" t="str">
        <x:f>IF(J36="","",IF(J36="PASS",SUM(L36:M36),0))</x:f>
      </x:c>
      <x:c r="O36" s="17"/>
      <x:c r="P36" s="17"/>
      <x:c r="Q36" s="17"/>
      <x:c r="R36" s="17"/>
      <x:c r="S36" s="17"/>
      <x:c r="T36" s="17"/>
      <x:c r="U36" s="17"/>
      <x:c r="V36" s="18" t="str">
        <x:f>IF(COUNTA(P36:U36)=0,"",IF(COUNTIF(P36:U36,"FAIL")&gt;0,"FAIL",IF(COUNTIF(P36:U36,"uncertain")&gt;0,"uncertain","PASS")))</x:f>
      </x:c>
      <x:c r="W36" s="17"/>
      <x:c r="X36" s="17"/>
      <x:c r="Y36" s="17"/>
      <x:c r="Z36" s="19" t="str">
        <x:f>IF(V36="","",IF(V36="PASS",SUM(X36:Y36),0))</x:f>
      </x:c>
      <x:c r="AA36" s="17"/>
      <x:c r="AB36" s="20" t="str">
        <x:f>IF(OR(J36="",V36=""),"",IF(J36=V36,"일치","불일치"))</x:f>
      </x:c>
      <x:c r="AC36" s="20" t="str">
        <x:f>IF(OR(K36="",W36=""),"",IF(K36=W36,"일치","불일치"))</x:f>
      </x:c>
      <x:c r="AD36" s="20" t="str">
        <x:f>IF(OR(N36="",Z36=""),"",ABS(N36-Z36))</x:f>
      </x:c>
      <x:c r="AE36" s="20" t="str">
        <x:f>IF(OR(AB36="",AD36=""),"",IF(AND(AB36="일치",AD36&lt;=1),"일치","검토"))</x:f>
      </x:c>
      <x:c r="AF36" s="17"/>
    </x:row>
    <x:row r="37">
      <x:c r="A37" s="17" t="n">
        <x:v>36</x:v>
      </x:c>
      <x:c r="B37" s="17" t="n">
        <x:v>2</x:v>
      </x:c>
      <x:c r="C37" s="17" t="str">
        <x:v>①</x:v>
      </x:c>
      <x:c r="D37" s="17"/>
      <x:c r="E37" s="17"/>
      <x:c r="F37" s="17"/>
      <x:c r="G37" s="17"/>
      <x:c r="H37" s="17"/>
      <x:c r="I37" s="17"/>
      <x:c r="J37" s="18" t="str">
        <x:f>IF(COUNTA(D37:I37)=0,"",IF(COUNTIF(D37:I37,"FAIL")&gt;0,"FAIL",IF(COUNTIF(D37:I37,"uncertain")&gt;0,"uncertain","PASS")))</x:f>
      </x:c>
      <x:c r="K37" s="17"/>
      <x:c r="L37" s="17"/>
      <x:c r="M37" s="17"/>
      <x:c r="N37" s="19" t="str">
        <x:f>IF(J37="","",IF(J37="PASS",SUM(L37:M37),0))</x:f>
      </x:c>
      <x:c r="O37" s="17"/>
      <x:c r="P37" s="17"/>
      <x:c r="Q37" s="17"/>
      <x:c r="R37" s="17"/>
      <x:c r="S37" s="17"/>
      <x:c r="T37" s="17"/>
      <x:c r="U37" s="17"/>
      <x:c r="V37" s="18" t="str">
        <x:f>IF(COUNTA(P37:U37)=0,"",IF(COUNTIF(P37:U37,"FAIL")&gt;0,"FAIL",IF(COUNTIF(P37:U37,"uncertain")&gt;0,"uncertain","PASS")))</x:f>
      </x:c>
      <x:c r="W37" s="17"/>
      <x:c r="X37" s="17"/>
      <x:c r="Y37" s="17"/>
      <x:c r="Z37" s="19" t="str">
        <x:f>IF(V37="","",IF(V37="PASS",SUM(X37:Y37),0))</x:f>
      </x:c>
      <x:c r="AA37" s="17"/>
      <x:c r="AB37" s="20" t="str">
        <x:f>IF(OR(J37="",V37=""),"",IF(J37=V37,"일치","불일치"))</x:f>
      </x:c>
      <x:c r="AC37" s="20" t="str">
        <x:f>IF(OR(K37="",W37=""),"",IF(K37=W37,"일치","불일치"))</x:f>
      </x:c>
      <x:c r="AD37" s="20" t="str">
        <x:f>IF(OR(N37="",Z37=""),"",ABS(N37-Z37))</x:f>
      </x:c>
      <x:c r="AE37" s="20" t="str">
        <x:f>IF(OR(AB37="",AD37=""),"",IF(AND(AB37="일치",AD37&lt;=1),"일치","검토"))</x:f>
      </x:c>
      <x:c r="AF37" s="17"/>
    </x:row>
    <x:row r="38">
      <x:c r="A38" s="17" t="n">
        <x:v>37</x:v>
      </x:c>
      <x:c r="B38" s="17" t="n">
        <x:v>2</x:v>
      </x:c>
      <x:c r="C38" s="17" t="str">
        <x:v>②</x:v>
      </x:c>
      <x:c r="D38" s="17"/>
      <x:c r="E38" s="17"/>
      <x:c r="F38" s="17"/>
      <x:c r="G38" s="17"/>
      <x:c r="H38" s="17"/>
      <x:c r="I38" s="17"/>
      <x:c r="J38" s="18" t="str">
        <x:f>IF(COUNTA(D38:I38)=0,"",IF(COUNTIF(D38:I38,"FAIL")&gt;0,"FAIL",IF(COUNTIF(D38:I38,"uncertain")&gt;0,"uncertain","PASS")))</x:f>
      </x:c>
      <x:c r="K38" s="17"/>
      <x:c r="L38" s="17"/>
      <x:c r="M38" s="17"/>
      <x:c r="N38" s="19" t="str">
        <x:f>IF(J38="","",IF(J38="PASS",SUM(L38:M38),0))</x:f>
      </x:c>
      <x:c r="O38" s="17"/>
      <x:c r="P38" s="17"/>
      <x:c r="Q38" s="17"/>
      <x:c r="R38" s="17"/>
      <x:c r="S38" s="17"/>
      <x:c r="T38" s="17"/>
      <x:c r="U38" s="17"/>
      <x:c r="V38" s="18" t="str">
        <x:f>IF(COUNTA(P38:U38)=0,"",IF(COUNTIF(P38:U38,"FAIL")&gt;0,"FAIL",IF(COUNTIF(P38:U38,"uncertain")&gt;0,"uncertain","PASS")))</x:f>
      </x:c>
      <x:c r="W38" s="17"/>
      <x:c r="X38" s="17"/>
      <x:c r="Y38" s="17"/>
      <x:c r="Z38" s="19" t="str">
        <x:f>IF(V38="","",IF(V38="PASS",SUM(X38:Y38),0))</x:f>
      </x:c>
      <x:c r="AA38" s="17"/>
      <x:c r="AB38" s="20" t="str">
        <x:f>IF(OR(J38="",V38=""),"",IF(J38=V38,"일치","불일치"))</x:f>
      </x:c>
      <x:c r="AC38" s="20" t="str">
        <x:f>IF(OR(K38="",W38=""),"",IF(K38=W38,"일치","불일치"))</x:f>
      </x:c>
      <x:c r="AD38" s="20" t="str">
        <x:f>IF(OR(N38="",Z38=""),"",ABS(N38-Z38))</x:f>
      </x:c>
      <x:c r="AE38" s="20" t="str">
        <x:f>IF(OR(AB38="",AD38=""),"",IF(AND(AB38="일치",AD38&lt;=1),"일치","검토"))</x:f>
      </x:c>
      <x:c r="AF38" s="17"/>
    </x:row>
    <x:row r="39">
      <x:c r="A39" s="17" t="n">
        <x:v>38</x:v>
      </x:c>
      <x:c r="B39" s="17" t="n">
        <x:v>2</x:v>
      </x:c>
      <x:c r="C39" s="17" t="str">
        <x:v>①</x:v>
      </x:c>
      <x:c r="D39" s="17"/>
      <x:c r="E39" s="17"/>
      <x:c r="F39" s="17"/>
      <x:c r="G39" s="17"/>
      <x:c r="H39" s="17"/>
      <x:c r="I39" s="17"/>
      <x:c r="J39" s="18" t="str">
        <x:f>IF(COUNTA(D39:I39)=0,"",IF(COUNTIF(D39:I39,"FAIL")&gt;0,"FAIL",IF(COUNTIF(D39:I39,"uncertain")&gt;0,"uncertain","PASS")))</x:f>
      </x:c>
      <x:c r="K39" s="17"/>
      <x:c r="L39" s="17"/>
      <x:c r="M39" s="17"/>
      <x:c r="N39" s="19" t="str">
        <x:f>IF(J39="","",IF(J39="PASS",SUM(L39:M39),0))</x:f>
      </x:c>
      <x:c r="O39" s="17"/>
      <x:c r="P39" s="17"/>
      <x:c r="Q39" s="17"/>
      <x:c r="R39" s="17"/>
      <x:c r="S39" s="17"/>
      <x:c r="T39" s="17"/>
      <x:c r="U39" s="17"/>
      <x:c r="V39" s="18" t="str">
        <x:f>IF(COUNTA(P39:U39)=0,"",IF(COUNTIF(P39:U39,"FAIL")&gt;0,"FAIL",IF(COUNTIF(P39:U39,"uncertain")&gt;0,"uncertain","PASS")))</x:f>
      </x:c>
      <x:c r="W39" s="17"/>
      <x:c r="X39" s="17"/>
      <x:c r="Y39" s="17"/>
      <x:c r="Z39" s="19" t="str">
        <x:f>IF(V39="","",IF(V39="PASS",SUM(X39:Y39),0))</x:f>
      </x:c>
      <x:c r="AA39" s="17"/>
      <x:c r="AB39" s="20" t="str">
        <x:f>IF(OR(J39="",V39=""),"",IF(J39=V39,"일치","불일치"))</x:f>
      </x:c>
      <x:c r="AC39" s="20" t="str">
        <x:f>IF(OR(K39="",W39=""),"",IF(K39=W39,"일치","불일치"))</x:f>
      </x:c>
      <x:c r="AD39" s="20" t="str">
        <x:f>IF(OR(N39="",Z39=""),"",ABS(N39-Z39))</x:f>
      </x:c>
      <x:c r="AE39" s="20" t="str">
        <x:f>IF(OR(AB39="",AD39=""),"",IF(AND(AB39="일치",AD39&lt;=1),"일치","검토"))</x:f>
      </x:c>
      <x:c r="AF39" s="17"/>
    </x:row>
    <x:row r="40">
      <x:c r="A40" s="17" t="n">
        <x:v>39</x:v>
      </x:c>
      <x:c r="B40" s="17" t="n">
        <x:v>2</x:v>
      </x:c>
      <x:c r="C40" s="17" t="str">
        <x:v>①</x:v>
      </x:c>
      <x:c r="D40" s="17"/>
      <x:c r="E40" s="17"/>
      <x:c r="F40" s="17"/>
      <x:c r="G40" s="17"/>
      <x:c r="H40" s="17"/>
      <x:c r="I40" s="17"/>
      <x:c r="J40" s="18" t="str">
        <x:f>IF(COUNTA(D40:I40)=0,"",IF(COUNTIF(D40:I40,"FAIL")&gt;0,"FAIL",IF(COUNTIF(D40:I40,"uncertain")&gt;0,"uncertain","PASS")))</x:f>
      </x:c>
      <x:c r="K40" s="17"/>
      <x:c r="L40" s="17"/>
      <x:c r="M40" s="17"/>
      <x:c r="N40" s="19" t="str">
        <x:f>IF(J40="","",IF(J40="PASS",SUM(L40:M40),0))</x:f>
      </x:c>
      <x:c r="O40" s="17"/>
      <x:c r="P40" s="17"/>
      <x:c r="Q40" s="17"/>
      <x:c r="R40" s="17"/>
      <x:c r="S40" s="17"/>
      <x:c r="T40" s="17"/>
      <x:c r="U40" s="17"/>
      <x:c r="V40" s="18" t="str">
        <x:f>IF(COUNTA(P40:U40)=0,"",IF(COUNTIF(P40:U40,"FAIL")&gt;0,"FAIL",IF(COUNTIF(P40:U40,"uncertain")&gt;0,"uncertain","PASS")))</x:f>
      </x:c>
      <x:c r="W40" s="17"/>
      <x:c r="X40" s="17"/>
      <x:c r="Y40" s="17"/>
      <x:c r="Z40" s="19" t="str">
        <x:f>IF(V40="","",IF(V40="PASS",SUM(X40:Y40),0))</x:f>
      </x:c>
      <x:c r="AA40" s="17"/>
      <x:c r="AB40" s="20" t="str">
        <x:f>IF(OR(J40="",V40=""),"",IF(J40=V40,"일치","불일치"))</x:f>
      </x:c>
      <x:c r="AC40" s="20" t="str">
        <x:f>IF(OR(K40="",W40=""),"",IF(K40=W40,"일치","불일치"))</x:f>
      </x:c>
      <x:c r="AD40" s="20" t="str">
        <x:f>IF(OR(N40="",Z40=""),"",ABS(N40-Z40))</x:f>
      </x:c>
      <x:c r="AE40" s="20" t="str">
        <x:f>IF(OR(AB40="",AD40=""),"",IF(AND(AB40="일치",AD40&lt;=1),"일치","검토"))</x:f>
      </x:c>
      <x:c r="AF40" s="17"/>
    </x:row>
    <x:row r="41">
      <x:c r="A41" s="17" t="n">
        <x:v>40</x:v>
      </x:c>
      <x:c r="B41" s="17" t="n">
        <x:v>2</x:v>
      </x:c>
      <x:c r="C41" s="17" t="str">
        <x:v>①</x:v>
      </x:c>
      <x:c r="D41" s="17"/>
      <x:c r="E41" s="17"/>
      <x:c r="F41" s="17"/>
      <x:c r="G41" s="17"/>
      <x:c r="H41" s="17"/>
      <x:c r="I41" s="17"/>
      <x:c r="J41" s="18" t="str">
        <x:f>IF(COUNTA(D41:I41)=0,"",IF(COUNTIF(D41:I41,"FAIL")&gt;0,"FAIL",IF(COUNTIF(D41:I41,"uncertain")&gt;0,"uncertain","PASS")))</x:f>
      </x:c>
      <x:c r="K41" s="17"/>
      <x:c r="L41" s="17"/>
      <x:c r="M41" s="17"/>
      <x:c r="N41" s="19" t="str">
        <x:f>IF(J41="","",IF(J41="PASS",SUM(L41:M41),0))</x:f>
      </x:c>
      <x:c r="O41" s="17"/>
      <x:c r="P41" s="17"/>
      <x:c r="Q41" s="17"/>
      <x:c r="R41" s="17"/>
      <x:c r="S41" s="17"/>
      <x:c r="T41" s="17"/>
      <x:c r="U41" s="17"/>
      <x:c r="V41" s="18" t="str">
        <x:f>IF(COUNTA(P41:U41)=0,"",IF(COUNTIF(P41:U41,"FAIL")&gt;0,"FAIL",IF(COUNTIF(P41:U41,"uncertain")&gt;0,"uncertain","PASS")))</x:f>
      </x:c>
      <x:c r="W41" s="17"/>
      <x:c r="X41" s="17"/>
      <x:c r="Y41" s="17"/>
      <x:c r="Z41" s="19" t="str">
        <x:f>IF(V41="","",IF(V41="PASS",SUM(X41:Y41),0))</x:f>
      </x:c>
      <x:c r="AA41" s="17"/>
      <x:c r="AB41" s="20" t="str">
        <x:f>IF(OR(J41="",V41=""),"",IF(J41=V41,"일치","불일치"))</x:f>
      </x:c>
      <x:c r="AC41" s="20" t="str">
        <x:f>IF(OR(K41="",W41=""),"",IF(K41=W41,"일치","불일치"))</x:f>
      </x:c>
      <x:c r="AD41" s="20" t="str">
        <x:f>IF(OR(N41="",Z41=""),"",ABS(N41-Z41))</x:f>
      </x:c>
      <x:c r="AE41" s="20" t="str">
        <x:f>IF(OR(AB41="",AD41=""),"",IF(AND(AB41="일치",AD41&lt;=1),"일치","검토"))</x:f>
      </x:c>
      <x:c r="AF41" s="17"/>
    </x:row>
    <x:row r="42">
      <x:c r="A42" s="17" t="n">
        <x:v>41</x:v>
      </x:c>
      <x:c r="B42" s="17" t="n">
        <x:v>2</x:v>
      </x:c>
      <x:c r="C42" s="17" t="str">
        <x:v>①</x:v>
      </x:c>
      <x:c r="D42" s="17"/>
      <x:c r="E42" s="17"/>
      <x:c r="F42" s="17"/>
      <x:c r="G42" s="17"/>
      <x:c r="H42" s="17"/>
      <x:c r="I42" s="17"/>
      <x:c r="J42" s="18" t="str">
        <x:f>IF(COUNTA(D42:I42)=0,"",IF(COUNTIF(D42:I42,"FAIL")&gt;0,"FAIL",IF(COUNTIF(D42:I42,"uncertain")&gt;0,"uncertain","PASS")))</x:f>
      </x:c>
      <x:c r="K42" s="17"/>
      <x:c r="L42" s="17"/>
      <x:c r="M42" s="17"/>
      <x:c r="N42" s="19" t="str">
        <x:f>IF(J42="","",IF(J42="PASS",SUM(L42:M42),0))</x:f>
      </x:c>
      <x:c r="O42" s="17"/>
      <x:c r="P42" s="17"/>
      <x:c r="Q42" s="17"/>
      <x:c r="R42" s="17"/>
      <x:c r="S42" s="17"/>
      <x:c r="T42" s="17"/>
      <x:c r="U42" s="17"/>
      <x:c r="V42" s="18" t="str">
        <x:f>IF(COUNTA(P42:U42)=0,"",IF(COUNTIF(P42:U42,"FAIL")&gt;0,"FAIL",IF(COUNTIF(P42:U42,"uncertain")&gt;0,"uncertain","PASS")))</x:f>
      </x:c>
      <x:c r="W42" s="17"/>
      <x:c r="X42" s="17"/>
      <x:c r="Y42" s="17"/>
      <x:c r="Z42" s="19" t="str">
        <x:f>IF(V42="","",IF(V42="PASS",SUM(X42:Y42),0))</x:f>
      </x:c>
      <x:c r="AA42" s="17"/>
      <x:c r="AB42" s="20" t="str">
        <x:f>IF(OR(J42="",V42=""),"",IF(J42=V42,"일치","불일치"))</x:f>
      </x:c>
      <x:c r="AC42" s="20" t="str">
        <x:f>IF(OR(K42="",W42=""),"",IF(K42=W42,"일치","불일치"))</x:f>
      </x:c>
      <x:c r="AD42" s="20" t="str">
        <x:f>IF(OR(N42="",Z42=""),"",ABS(N42-Z42))</x:f>
      </x:c>
      <x:c r="AE42" s="20" t="str">
        <x:f>IF(OR(AB42="",AD42=""),"",IF(AND(AB42="일치",AD42&lt;=1),"일치","검토"))</x:f>
      </x:c>
      <x:c r="AF42" s="17"/>
    </x:row>
    <x:row r="43">
      <x:c r="A43" s="17" t="n">
        <x:v>42</x:v>
      </x:c>
      <x:c r="B43" s="17" t="n">
        <x:v>2</x:v>
      </x:c>
      <x:c r="C43" s="17" t="str">
        <x:v>①</x:v>
      </x:c>
      <x:c r="D43" s="17"/>
      <x:c r="E43" s="17"/>
      <x:c r="F43" s="17"/>
      <x:c r="G43" s="17"/>
      <x:c r="H43" s="17"/>
      <x:c r="I43" s="17"/>
      <x:c r="J43" s="18" t="str">
        <x:f>IF(COUNTA(D43:I43)=0,"",IF(COUNTIF(D43:I43,"FAIL")&gt;0,"FAIL",IF(COUNTIF(D43:I43,"uncertain")&gt;0,"uncertain","PASS")))</x:f>
      </x:c>
      <x:c r="K43" s="17"/>
      <x:c r="L43" s="17"/>
      <x:c r="M43" s="17"/>
      <x:c r="N43" s="19" t="str">
        <x:f>IF(J43="","",IF(J43="PASS",SUM(L43:M43),0))</x:f>
      </x:c>
      <x:c r="O43" s="17"/>
      <x:c r="P43" s="17"/>
      <x:c r="Q43" s="17"/>
      <x:c r="R43" s="17"/>
      <x:c r="S43" s="17"/>
      <x:c r="T43" s="17"/>
      <x:c r="U43" s="17"/>
      <x:c r="V43" s="18" t="str">
        <x:f>IF(COUNTA(P43:U43)=0,"",IF(COUNTIF(P43:U43,"FAIL")&gt;0,"FAIL",IF(COUNTIF(P43:U43,"uncertain")&gt;0,"uncertain","PASS")))</x:f>
      </x:c>
      <x:c r="W43" s="17"/>
      <x:c r="X43" s="17"/>
      <x:c r="Y43" s="17"/>
      <x:c r="Z43" s="19" t="str">
        <x:f>IF(V43="","",IF(V43="PASS",SUM(X43:Y43),0))</x:f>
      </x:c>
      <x:c r="AA43" s="17"/>
      <x:c r="AB43" s="20" t="str">
        <x:f>IF(OR(J43="",V43=""),"",IF(J43=V43,"일치","불일치"))</x:f>
      </x:c>
      <x:c r="AC43" s="20" t="str">
        <x:f>IF(OR(K43="",W43=""),"",IF(K43=W43,"일치","불일치"))</x:f>
      </x:c>
      <x:c r="AD43" s="20" t="str">
        <x:f>IF(OR(N43="",Z43=""),"",ABS(N43-Z43))</x:f>
      </x:c>
      <x:c r="AE43" s="20" t="str">
        <x:f>IF(OR(AB43="",AD43=""),"",IF(AND(AB43="일치",AD43&lt;=1),"일치","검토"))</x:f>
      </x:c>
      <x:c r="AF43" s="17"/>
    </x:row>
    <x:row r="44">
      <x:c r="A44" s="17" t="n">
        <x:v>43</x:v>
      </x:c>
      <x:c r="B44" s="17" t="n">
        <x:v>2</x:v>
      </x:c>
      <x:c r="C44" s="17" t="str">
        <x:v>①</x:v>
      </x:c>
      <x:c r="D44" s="17"/>
      <x:c r="E44" s="17"/>
      <x:c r="F44" s="17"/>
      <x:c r="G44" s="17"/>
      <x:c r="H44" s="17"/>
      <x:c r="I44" s="17"/>
      <x:c r="J44" s="18" t="str">
        <x:f>IF(COUNTA(D44:I44)=0,"",IF(COUNTIF(D44:I44,"FAIL")&gt;0,"FAIL",IF(COUNTIF(D44:I44,"uncertain")&gt;0,"uncertain","PASS")))</x:f>
      </x:c>
      <x:c r="K44" s="17"/>
      <x:c r="L44" s="17"/>
      <x:c r="M44" s="17"/>
      <x:c r="N44" s="19" t="str">
        <x:f>IF(J44="","",IF(J44="PASS",SUM(L44:M44),0))</x:f>
      </x:c>
      <x:c r="O44" s="17"/>
      <x:c r="P44" s="17"/>
      <x:c r="Q44" s="17"/>
      <x:c r="R44" s="17"/>
      <x:c r="S44" s="17"/>
      <x:c r="T44" s="17"/>
      <x:c r="U44" s="17"/>
      <x:c r="V44" s="18" t="str">
        <x:f>IF(COUNTA(P44:U44)=0,"",IF(COUNTIF(P44:U44,"FAIL")&gt;0,"FAIL",IF(COUNTIF(P44:U44,"uncertain")&gt;0,"uncertain","PASS")))</x:f>
      </x:c>
      <x:c r="W44" s="17"/>
      <x:c r="X44" s="17"/>
      <x:c r="Y44" s="17"/>
      <x:c r="Z44" s="19" t="str">
        <x:f>IF(V44="","",IF(V44="PASS",SUM(X44:Y44),0))</x:f>
      </x:c>
      <x:c r="AA44" s="17"/>
      <x:c r="AB44" s="20" t="str">
        <x:f>IF(OR(J44="",V44=""),"",IF(J44=V44,"일치","불일치"))</x:f>
      </x:c>
      <x:c r="AC44" s="20" t="str">
        <x:f>IF(OR(K44="",W44=""),"",IF(K44=W44,"일치","불일치"))</x:f>
      </x:c>
      <x:c r="AD44" s="20" t="str">
        <x:f>IF(OR(N44="",Z44=""),"",ABS(N44-Z44))</x:f>
      </x:c>
      <x:c r="AE44" s="20" t="str">
        <x:f>IF(OR(AB44="",AD44=""),"",IF(AND(AB44="일치",AD44&lt;=1),"일치","검토"))</x:f>
      </x:c>
      <x:c r="AF44" s="17"/>
    </x:row>
    <x:row r="45">
      <x:c r="A45" s="17" t="n">
        <x:v>44</x:v>
      </x:c>
      <x:c r="B45" s="17" t="n">
        <x:v>3</x:v>
      </x:c>
      <x:c r="C45" s="17" t="str">
        <x:v>①</x:v>
      </x:c>
      <x:c r="D45" s="17"/>
      <x:c r="E45" s="17"/>
      <x:c r="F45" s="17"/>
      <x:c r="G45" s="17"/>
      <x:c r="H45" s="17"/>
      <x:c r="I45" s="17"/>
      <x:c r="J45" s="18" t="str">
        <x:f>IF(COUNTA(D45:I45)=0,"",IF(COUNTIF(D45:I45,"FAIL")&gt;0,"FAIL",IF(COUNTIF(D45:I45,"uncertain")&gt;0,"uncertain","PASS")))</x:f>
      </x:c>
      <x:c r="K45" s="17"/>
      <x:c r="L45" s="17"/>
      <x:c r="M45" s="17"/>
      <x:c r="N45" s="19" t="str">
        <x:f>IF(J45="","",IF(J45="PASS",SUM(L45:M45),0))</x:f>
      </x:c>
      <x:c r="O45" s="17"/>
      <x:c r="P45" s="17"/>
      <x:c r="Q45" s="17"/>
      <x:c r="R45" s="17"/>
      <x:c r="S45" s="17"/>
      <x:c r="T45" s="17"/>
      <x:c r="U45" s="17"/>
      <x:c r="V45" s="18" t="str">
        <x:f>IF(COUNTA(P45:U45)=0,"",IF(COUNTIF(P45:U45,"FAIL")&gt;0,"FAIL",IF(COUNTIF(P45:U45,"uncertain")&gt;0,"uncertain","PASS")))</x:f>
      </x:c>
      <x:c r="W45" s="17"/>
      <x:c r="X45" s="17"/>
      <x:c r="Y45" s="17"/>
      <x:c r="Z45" s="19" t="str">
        <x:f>IF(V45="","",IF(V45="PASS",SUM(X45:Y45),0))</x:f>
      </x:c>
      <x:c r="AA45" s="17"/>
      <x:c r="AB45" s="20" t="str">
        <x:f>IF(OR(J45="",V45=""),"",IF(J45=V45,"일치","불일치"))</x:f>
      </x:c>
      <x:c r="AC45" s="20" t="str">
        <x:f>IF(OR(K45="",W45=""),"",IF(K45=W45,"일치","불일치"))</x:f>
      </x:c>
      <x:c r="AD45" s="20" t="str">
        <x:f>IF(OR(N45="",Z45=""),"",ABS(N45-Z45))</x:f>
      </x:c>
      <x:c r="AE45" s="20" t="str">
        <x:f>IF(OR(AB45="",AD45=""),"",IF(AND(AB45="일치",AD45&lt;=1),"일치","검토"))</x:f>
      </x:c>
      <x:c r="AF45" s="17"/>
    </x:row>
    <x:row r="46">
      <x:c r="A46" s="17" t="n">
        <x:v>45</x:v>
      </x:c>
      <x:c r="B46" s="17" t="n">
        <x:v>2</x:v>
      </x:c>
      <x:c r="C46" s="17" t="str">
        <x:v>①</x:v>
      </x:c>
      <x:c r="D46" s="17"/>
      <x:c r="E46" s="17"/>
      <x:c r="F46" s="17"/>
      <x:c r="G46" s="17"/>
      <x:c r="H46" s="17"/>
      <x:c r="I46" s="17"/>
      <x:c r="J46" s="18" t="str">
        <x:f>IF(COUNTA(D46:I46)=0,"",IF(COUNTIF(D46:I46,"FAIL")&gt;0,"FAIL",IF(COUNTIF(D46:I46,"uncertain")&gt;0,"uncertain","PASS")))</x:f>
      </x:c>
      <x:c r="K46" s="17"/>
      <x:c r="L46" s="17"/>
      <x:c r="M46" s="17"/>
      <x:c r="N46" s="19" t="str">
        <x:f>IF(J46="","",IF(J46="PASS",SUM(L46:M46),0))</x:f>
      </x:c>
      <x:c r="O46" s="17"/>
      <x:c r="P46" s="17"/>
      <x:c r="Q46" s="17"/>
      <x:c r="R46" s="17"/>
      <x:c r="S46" s="17"/>
      <x:c r="T46" s="17"/>
      <x:c r="U46" s="17"/>
      <x:c r="V46" s="18" t="str">
        <x:f>IF(COUNTA(P46:U46)=0,"",IF(COUNTIF(P46:U46,"FAIL")&gt;0,"FAIL",IF(COUNTIF(P46:U46,"uncertain")&gt;0,"uncertain","PASS")))</x:f>
      </x:c>
      <x:c r="W46" s="17"/>
      <x:c r="X46" s="17"/>
      <x:c r="Y46" s="17"/>
      <x:c r="Z46" s="19" t="str">
        <x:f>IF(V46="","",IF(V46="PASS",SUM(X46:Y46),0))</x:f>
      </x:c>
      <x:c r="AA46" s="17"/>
      <x:c r="AB46" s="20" t="str">
        <x:f>IF(OR(J46="",V46=""),"",IF(J46=V46,"일치","불일치"))</x:f>
      </x:c>
      <x:c r="AC46" s="20" t="str">
        <x:f>IF(OR(K46="",W46=""),"",IF(K46=W46,"일치","불일치"))</x:f>
      </x:c>
      <x:c r="AD46" s="20" t="str">
        <x:f>IF(OR(N46="",Z46=""),"",ABS(N46-Z46))</x:f>
      </x:c>
      <x:c r="AE46" s="20" t="str">
        <x:f>IF(OR(AB46="",AD46=""),"",IF(AND(AB46="일치",AD46&lt;=1),"일치","검토"))</x:f>
      </x:c>
      <x:c r="AF46" s="17"/>
    </x:row>
    <x:row r="47">
      <x:c r="A47" s="17" t="n">
        <x:v>46</x:v>
      </x:c>
      <x:c r="B47" s="17" t="n">
        <x:v>2</x:v>
      </x:c>
      <x:c r="C47" s="17" t="str">
        <x:v>①</x:v>
      </x:c>
      <x:c r="D47" s="17"/>
      <x:c r="E47" s="17"/>
      <x:c r="F47" s="17"/>
      <x:c r="G47" s="17"/>
      <x:c r="H47" s="17"/>
      <x:c r="I47" s="17"/>
      <x:c r="J47" s="18" t="str">
        <x:f>IF(COUNTA(D47:I47)=0,"",IF(COUNTIF(D47:I47,"FAIL")&gt;0,"FAIL",IF(COUNTIF(D47:I47,"uncertain")&gt;0,"uncertain","PASS")))</x:f>
      </x:c>
      <x:c r="K47" s="17"/>
      <x:c r="L47" s="17"/>
      <x:c r="M47" s="17"/>
      <x:c r="N47" s="19" t="str">
        <x:f>IF(J47="","",IF(J47="PASS",SUM(L47:M47),0))</x:f>
      </x:c>
      <x:c r="O47" s="17"/>
      <x:c r="P47" s="17"/>
      <x:c r="Q47" s="17"/>
      <x:c r="R47" s="17"/>
      <x:c r="S47" s="17"/>
      <x:c r="T47" s="17"/>
      <x:c r="U47" s="17"/>
      <x:c r="V47" s="18" t="str">
        <x:f>IF(COUNTA(P47:U47)=0,"",IF(COUNTIF(P47:U47,"FAIL")&gt;0,"FAIL",IF(COUNTIF(P47:U47,"uncertain")&gt;0,"uncertain","PASS")))</x:f>
      </x:c>
      <x:c r="W47" s="17"/>
      <x:c r="X47" s="17"/>
      <x:c r="Y47" s="17"/>
      <x:c r="Z47" s="19" t="str">
        <x:f>IF(V47="","",IF(V47="PASS",SUM(X47:Y47),0))</x:f>
      </x:c>
      <x:c r="AA47" s="17"/>
      <x:c r="AB47" s="20" t="str">
        <x:f>IF(OR(J47="",V47=""),"",IF(J47=V47,"일치","불일치"))</x:f>
      </x:c>
      <x:c r="AC47" s="20" t="str">
        <x:f>IF(OR(K47="",W47=""),"",IF(K47=W47,"일치","불일치"))</x:f>
      </x:c>
      <x:c r="AD47" s="20" t="str">
        <x:f>IF(OR(N47="",Z47=""),"",ABS(N47-Z47))</x:f>
      </x:c>
      <x:c r="AE47" s="20" t="str">
        <x:f>IF(OR(AB47="",AD47=""),"",IF(AND(AB47="일치",AD47&lt;=1),"일치","검토"))</x:f>
      </x:c>
      <x:c r="AF47" s="17"/>
    </x:row>
    <x:row r="48">
      <x:c r="A48" s="17" t="n">
        <x:v>47</x:v>
      </x:c>
      <x:c r="B48" s="17" t="n">
        <x:v>3</x:v>
      </x:c>
      <x:c r="C48" s="17" t="str">
        <x:v>①</x:v>
      </x:c>
      <x:c r="D48" s="17"/>
      <x:c r="E48" s="17"/>
      <x:c r="F48" s="17"/>
      <x:c r="G48" s="17"/>
      <x:c r="H48" s="17"/>
      <x:c r="I48" s="17"/>
      <x:c r="J48" s="18" t="str">
        <x:f>IF(COUNTA(D48:I48)=0,"",IF(COUNTIF(D48:I48,"FAIL")&gt;0,"FAIL",IF(COUNTIF(D48:I48,"uncertain")&gt;0,"uncertain","PASS")))</x:f>
      </x:c>
      <x:c r="K48" s="17"/>
      <x:c r="L48" s="17"/>
      <x:c r="M48" s="17"/>
      <x:c r="N48" s="19" t="str">
        <x:f>IF(J48="","",IF(J48="PASS",SUM(L48:M48),0))</x:f>
      </x:c>
      <x:c r="O48" s="17"/>
      <x:c r="P48" s="17"/>
      <x:c r="Q48" s="17"/>
      <x:c r="R48" s="17"/>
      <x:c r="S48" s="17"/>
      <x:c r="T48" s="17"/>
      <x:c r="U48" s="17"/>
      <x:c r="V48" s="18" t="str">
        <x:f>IF(COUNTA(P48:U48)=0,"",IF(COUNTIF(P48:U48,"FAIL")&gt;0,"FAIL",IF(COUNTIF(P48:U48,"uncertain")&gt;0,"uncertain","PASS")))</x:f>
      </x:c>
      <x:c r="W48" s="17"/>
      <x:c r="X48" s="17"/>
      <x:c r="Y48" s="17"/>
      <x:c r="Z48" s="19" t="str">
        <x:f>IF(V48="","",IF(V48="PASS",SUM(X48:Y48),0))</x:f>
      </x:c>
      <x:c r="AA48" s="17"/>
      <x:c r="AB48" s="20" t="str">
        <x:f>IF(OR(J48="",V48=""),"",IF(J48=V48,"일치","불일치"))</x:f>
      </x:c>
      <x:c r="AC48" s="20" t="str">
        <x:f>IF(OR(K48="",W48=""),"",IF(K48=W48,"일치","불일치"))</x:f>
      </x:c>
      <x:c r="AD48" s="20" t="str">
        <x:f>IF(OR(N48="",Z48=""),"",ABS(N48-Z48))</x:f>
      </x:c>
      <x:c r="AE48" s="20" t="str">
        <x:f>IF(OR(AB48="",AD48=""),"",IF(AND(AB48="일치",AD48&lt;=1),"일치","검토"))</x:f>
      </x:c>
      <x:c r="AF48" s="17"/>
    </x:row>
    <x:row r="49">
      <x:c r="A49" s="17" t="n">
        <x:v>48</x:v>
      </x:c>
      <x:c r="B49" s="17" t="n">
        <x:v>2</x:v>
      </x:c>
      <x:c r="C49" s="17" t="str">
        <x:v>①</x:v>
      </x:c>
      <x:c r="D49" s="17"/>
      <x:c r="E49" s="17"/>
      <x:c r="F49" s="17"/>
      <x:c r="G49" s="17"/>
      <x:c r="H49" s="17"/>
      <x:c r="I49" s="17"/>
      <x:c r="J49" s="18" t="str">
        <x:f>IF(COUNTA(D49:I49)=0,"",IF(COUNTIF(D49:I49,"FAIL")&gt;0,"FAIL",IF(COUNTIF(D49:I49,"uncertain")&gt;0,"uncertain","PASS")))</x:f>
      </x:c>
      <x:c r="K49" s="17"/>
      <x:c r="L49" s="17"/>
      <x:c r="M49" s="17"/>
      <x:c r="N49" s="19" t="str">
        <x:f>IF(J49="","",IF(J49="PASS",SUM(L49:M49),0))</x:f>
      </x:c>
      <x:c r="O49" s="17"/>
      <x:c r="P49" s="17"/>
      <x:c r="Q49" s="17"/>
      <x:c r="R49" s="17"/>
      <x:c r="S49" s="17"/>
      <x:c r="T49" s="17"/>
      <x:c r="U49" s="17"/>
      <x:c r="V49" s="18" t="str">
        <x:f>IF(COUNTA(P49:U49)=0,"",IF(COUNTIF(P49:U49,"FAIL")&gt;0,"FAIL",IF(COUNTIF(P49:U49,"uncertain")&gt;0,"uncertain","PASS")))</x:f>
      </x:c>
      <x:c r="W49" s="17"/>
      <x:c r="X49" s="17"/>
      <x:c r="Y49" s="17"/>
      <x:c r="Z49" s="19" t="str">
        <x:f>IF(V49="","",IF(V49="PASS",SUM(X49:Y49),0))</x:f>
      </x:c>
      <x:c r="AA49" s="17"/>
      <x:c r="AB49" s="20" t="str">
        <x:f>IF(OR(J49="",V49=""),"",IF(J49=V49,"일치","불일치"))</x:f>
      </x:c>
      <x:c r="AC49" s="20" t="str">
        <x:f>IF(OR(K49="",W49=""),"",IF(K49=W49,"일치","불일치"))</x:f>
      </x:c>
      <x:c r="AD49" s="20" t="str">
        <x:f>IF(OR(N49="",Z49=""),"",ABS(N49-Z49))</x:f>
      </x:c>
      <x:c r="AE49" s="20" t="str">
        <x:f>IF(OR(AB49="",AD49=""),"",IF(AND(AB49="일치",AD49&lt;=1),"일치","검토"))</x:f>
      </x:c>
      <x:c r="AF49" s="17"/>
    </x:row>
    <x:row r="50">
      <x:c r="A50" s="17" t="n">
        <x:v>49</x:v>
      </x:c>
      <x:c r="B50" s="17" t="n">
        <x:v>2</x:v>
      </x:c>
      <x:c r="C50" s="17" t="str">
        <x:v>①</x:v>
      </x:c>
      <x:c r="D50" s="17"/>
      <x:c r="E50" s="17"/>
      <x:c r="F50" s="17"/>
      <x:c r="G50" s="17"/>
      <x:c r="H50" s="17"/>
      <x:c r="I50" s="17"/>
      <x:c r="J50" s="18" t="str">
        <x:f>IF(COUNTA(D50:I50)=0,"",IF(COUNTIF(D50:I50,"FAIL")&gt;0,"FAIL",IF(COUNTIF(D50:I50,"uncertain")&gt;0,"uncertain","PASS")))</x:f>
      </x:c>
      <x:c r="K50" s="17"/>
      <x:c r="L50" s="17"/>
      <x:c r="M50" s="17"/>
      <x:c r="N50" s="19" t="str">
        <x:f>IF(J50="","",IF(J50="PASS",SUM(L50:M50),0))</x:f>
      </x:c>
      <x:c r="O50" s="17"/>
      <x:c r="P50" s="17"/>
      <x:c r="Q50" s="17"/>
      <x:c r="R50" s="17"/>
      <x:c r="S50" s="17"/>
      <x:c r="T50" s="17"/>
      <x:c r="U50" s="17"/>
      <x:c r="V50" s="18" t="str">
        <x:f>IF(COUNTA(P50:U50)=0,"",IF(COUNTIF(P50:U50,"FAIL")&gt;0,"FAIL",IF(COUNTIF(P50:U50,"uncertain")&gt;0,"uncertain","PASS")))</x:f>
      </x:c>
      <x:c r="W50" s="17"/>
      <x:c r="X50" s="17"/>
      <x:c r="Y50" s="17"/>
      <x:c r="Z50" s="19" t="str">
        <x:f>IF(V50="","",IF(V50="PASS",SUM(X50:Y50),0))</x:f>
      </x:c>
      <x:c r="AA50" s="17"/>
      <x:c r="AB50" s="20" t="str">
        <x:f>IF(OR(J50="",V50=""),"",IF(J50=V50,"일치","불일치"))</x:f>
      </x:c>
      <x:c r="AC50" s="20" t="str">
        <x:f>IF(OR(K50="",W50=""),"",IF(K50=W50,"일치","불일치"))</x:f>
      </x:c>
      <x:c r="AD50" s="20" t="str">
        <x:f>IF(OR(N50="",Z50=""),"",ABS(N50-Z50))</x:f>
      </x:c>
      <x:c r="AE50" s="20" t="str">
        <x:f>IF(OR(AB50="",AD50=""),"",IF(AND(AB50="일치",AD50&lt;=1),"일치","검토"))</x:f>
      </x:c>
      <x:c r="AF50" s="17"/>
    </x:row>
    <x:row r="51">
      <x:c r="A51" s="17" t="n">
        <x:v>50</x:v>
      </x:c>
      <x:c r="B51" s="17" t="n">
        <x:v>2</x:v>
      </x:c>
      <x:c r="C51" s="17" t="str">
        <x:v>①</x:v>
      </x:c>
      <x:c r="D51" s="17"/>
      <x:c r="E51" s="17"/>
      <x:c r="F51" s="17"/>
      <x:c r="G51" s="17"/>
      <x:c r="H51" s="17"/>
      <x:c r="I51" s="17"/>
      <x:c r="J51" s="18" t="str">
        <x:f>IF(COUNTA(D51:I51)=0,"",IF(COUNTIF(D51:I51,"FAIL")&gt;0,"FAIL",IF(COUNTIF(D51:I51,"uncertain")&gt;0,"uncertain","PASS")))</x:f>
      </x:c>
      <x:c r="K51" s="17"/>
      <x:c r="L51" s="17"/>
      <x:c r="M51" s="17"/>
      <x:c r="N51" s="19" t="str">
        <x:f>IF(J51="","",IF(J51="PASS",SUM(L51:M51),0))</x:f>
      </x:c>
      <x:c r="O51" s="17"/>
      <x:c r="P51" s="17"/>
      <x:c r="Q51" s="17"/>
      <x:c r="R51" s="17"/>
      <x:c r="S51" s="17"/>
      <x:c r="T51" s="17"/>
      <x:c r="U51" s="17"/>
      <x:c r="V51" s="18" t="str">
        <x:f>IF(COUNTA(P51:U51)=0,"",IF(COUNTIF(P51:U51,"FAIL")&gt;0,"FAIL",IF(COUNTIF(P51:U51,"uncertain")&gt;0,"uncertain","PASS")))</x:f>
      </x:c>
      <x:c r="W51" s="17"/>
      <x:c r="X51" s="17"/>
      <x:c r="Y51" s="17"/>
      <x:c r="Z51" s="19" t="str">
        <x:f>IF(V51="","",IF(V51="PASS",SUM(X51:Y51),0))</x:f>
      </x:c>
      <x:c r="AA51" s="17"/>
      <x:c r="AB51" s="20" t="str">
        <x:f>IF(OR(J51="",V51=""),"",IF(J51=V51,"일치","불일치"))</x:f>
      </x:c>
      <x:c r="AC51" s="20" t="str">
        <x:f>IF(OR(K51="",W51=""),"",IF(K51=W51,"일치","불일치"))</x:f>
      </x:c>
      <x:c r="AD51" s="20" t="str">
        <x:f>IF(OR(N51="",Z51=""),"",ABS(N51-Z51))</x:f>
      </x:c>
      <x:c r="AE51" s="20" t="str">
        <x:f>IF(OR(AB51="",AD51=""),"",IF(AND(AB51="일치",AD51&lt;=1),"일치","검토"))</x:f>
      </x:c>
      <x:c r="AF51" s="17"/>
    </x:row>
  </x:sheetData>
  <x:dataValidations count="8">
    <x:dataValidation type="list" sqref="D2:I51">
      <x:formula1>"PASS,FAIL,uncertain,N/A"</x:formula1>
    </x:dataValidation>
    <x:dataValidation type="list" sqref="P2:U51">
      <x:formula1>"PASS,FAIL,uncertain,N/A"</x:formula1>
    </x:dataValidation>
    <x:dataValidation type="list" sqref="K2:K51">
      <x:formula1>"accept,repair,regenerate,needs_verification,discard"</x:formula1>
    </x:dataValidation>
    <x:dataValidation type="list" sqref="W2:W51">
      <x:formula1>"accept,repair,regenerate,needs_verification,discard"</x:formula1>
    </x:dataValidation>
    <x:dataValidation type="whole" operator="between" sqref="L2:L51">
      <x:formula1>0</x:formula1>
      <x:formula2>4</x:formula2>
    </x:dataValidation>
    <x:dataValidation type="whole" operator="between" sqref="X2:X51">
      <x:formula1>0</x:formula1>
      <x:formula2>4</x:formula2>
    </x:dataValidation>
    <x:dataValidation type="whole" operator="between" sqref="M2:M51">
      <x:formula1>0</x:formula1>
      <x:formula2>6</x:formula2>
    </x:dataValidation>
    <x:dataValidation type="whole" operator="between" sqref="Y2:Y51">
      <x:formula1>0</x:formula1>
      <x:formula2>6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70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8" hidden="0" customWidth="1"/>
  </x:cols>
  <x:sheetData>
    <x:row r="1">
      <x:c r="A1" s="9" t="str">
        <x:v>번호</x:v>
      </x:c>
      <x:c r="B1" s="9" t="str">
        <x:v>배점</x:v>
      </x:c>
      <x:c r="C1" s="9" t="str">
        <x:v>정답</x:v>
      </x:c>
      <x:c r="D1" s="9" t="str">
        <x:v>발문·자료</x:v>
      </x:c>
      <x:c r="E1" s="9" t="str">
        <x:v>①</x:v>
      </x:c>
      <x:c r="F1" s="9" t="str">
        <x:v>②</x:v>
      </x:c>
      <x:c r="G1" s="9" t="str">
        <x:v>③</x:v>
      </x:c>
      <x:c r="H1" s="9" t="str">
        <x:v>④</x:v>
      </x:c>
      <x:c r="I1" s="9" t="str">
        <x:v>⑤</x:v>
      </x:c>
      <x:c r="J1" s="9" t="str">
        <x:v>선지수</x:v>
      </x:c>
    </x:row>
    <x:row r="2">
      <x:c r="A2" s="17" t="n">
        <x:v>1</x:v>
      </x:c>
      <x:c r="B2" s="17" t="n">
        <x:v>1</x:v>
      </x:c>
      <x:c r="C2" s="17" t="str">
        <x:v>④</x:v>
      </x:c>
      <x:c r="D2" s="17" t="str">
        <x:v>다음 도구가 주로 사용된 시대의 생활 모습으로 옳은 것은? 주먹도끼, 찍개, 슴베찌르개</x:v>
      </x:c>
      <x:c r="E2" s="17" t="str">
        <x:v>반달 돌칼을 이용하여 벼를 수확하였다.</x:v>
      </x:c>
      <x:c r="F2" s="17" t="str">
        <x:v>민무늬 토기를 제작하여 곡물을 저장하였다.</x:v>
      </x:c>
      <x:c r="G2" s="17" t="str">
        <x:v>고인돌을 만들어 지배자의 무덤으로 삼았다.</x:v>
      </x:c>
      <x:c r="H2" s="17" t="str">
        <x:v>이동 생활을 하며 뗀석기를 사용하였다.</x:v>
      </x:c>
      <x:c r="I2" s="17" t="str">
        <x:v>철제 무기를 바탕으로 정복 활동을 전개하였다.</x:v>
      </x:c>
      <x:c r="J2" s="17" t="n">
        <x:v>5</x:v>
      </x:c>
    </x:row>
    <x:row r="3">
      <x:c r="A3" s="17" t="n">
        <x:v>2</x:v>
      </x:c>
      <x:c r="B3" s="17" t="n">
        <x:v>1</x:v>
      </x:c>
      <x:c r="C3" s="17" t="str">
        <x:v>②</x:v>
      </x:c>
      <x:c r="D3" s="17" t="str">
        <x:v>다음 유적에서 확인되는 시대의 생활 모습으로 옳은 것은? 부산 동삼동 패총에서 빗살무늬 토기와 가락바퀴가 출토되었다.</x:v>
      </x:c>
      <x:c r="E3" s="17" t="str">
        <x:v>철제 농기구를 널리 사용하였다.</x:v>
      </x:c>
      <x:c r="F3" s="17" t="str">
        <x:v>농경과 목축이 시작되었다.</x:v>
      </x:c>
      <x:c r="G3" s="17" t="str">
        <x:v>명도전, 반량전 등의 화폐가 사용되었다.</x:v>
      </x:c>
      <x:c r="H3" s="17" t="str">
        <x:v>주로 동굴이나 막집에서 거주하였다.</x:v>
      </x:c>
      <x:c r="I3" s="17" t="str">
        <x:v>지배자의 무덤으로 고인돌을 축조하였다.</x:v>
      </x:c>
      <x:c r="J3" s="17" t="n">
        <x:v>5</x:v>
      </x:c>
    </x:row>
    <x:row r="4">
      <x:c r="A4" s="17" t="n">
        <x:v>3</x:v>
      </x:c>
      <x:c r="B4" s="17" t="n">
        <x:v>2</x:v>
      </x:c>
      <x:c r="C4" s="17" t="str">
        <x:v>③</x:v>
      </x:c>
      <x:c r="D4" s="17" t="str">
        <x:v>다음 법 조항을 통해 알 수 있는 사회 모습으로 옳은 것은? 사람을 죽인 자는 사형에 처한다. 남에게 상처를 입힌 자는 곡식으로 갚게 한다. 도둑질한 자는 노비로 삼는다.</x:v>
      </x:c>
      <x:c r="E4" s="17" t="str">
        <x:v>불교식 윤리 질서가 확립되었다.</x:v>
      </x:c>
      <x:c r="F4" s="17" t="str">
        <x:v>골품에 따른 신분제가 운영되었다.</x:v>
      </x:c>
      <x:c r="G4" s="17" t="str">
        <x:v>사유 재산과 계급 분화가 존재하였다.</x:v>
      </x:c>
      <x:c r="H4" s="17" t="str">
        <x:v>지방 세력 견제를 위해 사심관을 두었다.</x:v>
      </x:c>
      <x:c r="I4" s="17" t="str">
        <x:v>유교 경전을 교육하는 태학이 설치되었다.</x:v>
      </x:c>
      <x:c r="J4" s="17" t="n">
        <x:v>5</x:v>
      </x:c>
    </x:row>
    <x:row r="5">
      <x:c r="A5" s="17" t="n">
        <x:v>4</x:v>
      </x:c>
      <x:c r="B5" s="17" t="n">
        <x:v>2</x:v>
      </x:c>
      <x:c r="C5" s="17" t="str">
        <x:v>③</x:v>
      </x:c>
      <x:c r="D5" s="17" t="str">
        <x:v>다음 설명에 해당하는 나라에 대한 내용으로 옳은 것은? 왕 아래에 마가, 우가, 저가, 구가가 있었고, 이들이 각각 사출도를 다스렸다. 해마다 12월에 제천 행사인 영고를 열었다.</x:v>
      </x:c>
      <x:c r="E5" s="17" t="str">
        <x:v>혼인 풍습으로 민며느리제가 있었다.</x:v>
      </x:c>
      <x:c r="F5" s="17" t="str">
        <x:v>여러 가들이 제가 회의를 통해 국가의 중대사를 결정하였다.</x:v>
      </x:c>
      <x:c r="G5" s="17" t="str">
        <x:v>왕이 죽으면 많은 사람을 함께 묻는 순장의 풍습이 있었다.</x:v>
      </x:c>
      <x:c r="H5" s="17" t="str">
        <x:v>다른 부족의 생활권을 침범하면 책화로 배상하게 하였다.</x:v>
      </x:c>
      <x:c r="I5" s="17" t="str">
        <x:v>소도라는 신성 지역에서 천군이 제사를 주관하였다.</x:v>
      </x:c>
      <x:c r="J5" s="17" t="n">
        <x:v>5</x:v>
      </x:c>
    </x:row>
    <x:row r="6">
      <x:c r="A6" s="17" t="n">
        <x:v>5</x:v>
      </x:c>
      <x:c r="B6" s="17" t="n">
        <x:v>2</x:v>
      </x:c>
      <x:c r="C6" s="17" t="str">
        <x:v>③</x:v>
      </x:c>
      <x:c r="D6" s="17" t="str">
        <x:v>다음 왕의 업적으로 옳은 것은? 이 왕은 전진으로부터 불교를 수용하고, 율령을 반포하여 국가 체제를 정비하였다.</x:v>
      </x:c>
      <x:c r="E6" s="17" t="str">
        <x:v>평양으로 수도를 옮겼다.</x:v>
      </x:c>
      <x:c r="F6" s="17" t="str">
        <x:v>신라를 도와 왜를 격퇴하였다.</x:v>
      </x:c>
      <x:c r="G6" s="17" t="str">
        <x:v>태학을 설립하여 인재를 양성하였다.</x:v>
      </x:c>
      <x:c r="H6" s="17" t="str">
        <x:v>살수에서 수의 군대를 물리쳤다.</x:v>
      </x:c>
      <x:c r="I6" s="17" t="str">
        <x:v>낙랑군을 축출하여 대외 발전의 발판을 마련하였다.</x:v>
      </x:c>
      <x:c r="J6" s="17" t="n">
        <x:v>5</x:v>
      </x:c>
    </x:row>
    <x:row r="7">
      <x:c r="A7" s="17" t="n">
        <x:v>6</x:v>
      </x:c>
      <x:c r="B7" s="17" t="n">
        <x:v>2</x:v>
      </x:c>
      <x:c r="C7" s="17" t="str">
        <x:v>③</x:v>
      </x:c>
      <x:c r="D7" s="17" t="str">
        <x:v>다음 왕의 재위 시기에 있었던 사실로 옳은 것은? 이 왕은 마한의 여러 세력을 복속하고, 고구려의 평양성을 공격하여 고국원왕을 전사시켰다.</x:v>
      </x:c>
      <x:c r="E7" s="17" t="str">
        <x:v>사비로 천도하고 국호를 남부여로 바꾸었다.</x:v>
      </x:c>
      <x:c r="F7" s="17" t="str">
        <x:v>동진으로부터 불교를 수용하였다.</x:v>
      </x:c>
      <x:c r="G7" s="17" t="str">
        <x:v>칠지도를 왜에 보내 교류하였다.</x:v>
      </x:c>
      <x:c r="H7" s="17" t="str">
        <x:v>나당 연합군의 공격으로 수도가 함락되었다.</x:v>
      </x:c>
      <x:c r="I7" s="17" t="str">
        <x:v>22담로에 왕족을 파견하여 지방 통제를 강화하였다.</x:v>
      </x:c>
      <x:c r="J7" s="17" t="n">
        <x:v>5</x:v>
      </x:c>
    </x:row>
    <x:row r="8">
      <x:c r="A8" s="17" t="n">
        <x:v>7</x:v>
      </x:c>
      <x:c r="B8" s="17" t="n">
        <x:v>2</x:v>
      </x:c>
      <x:c r="C8" s="17" t="str">
        <x:v>③</x:v>
      </x:c>
      <x:c r="D8" s="17" t="str">
        <x:v>다음 비석을 세운 왕의 업적으로 옳은 것은? 단양 신라 적성비, 북한산 신라 진흥왕 순수비</x:v>
      </x:c>
      <x:c r="E8" s="17" t="str">
        <x:v>독서삼품과를 실시하였다.</x:v>
      </x:c>
      <x:c r="F8" s="17" t="str">
        <x:v>국학을 설치하여 유학 교육을 강화하였다.</x:v>
      </x:c>
      <x:c r="G8" s="17" t="str">
        <x:v>한강 유역을 차지하고 대외 진출의 기반을 마련하였다.</x:v>
      </x:c>
      <x:c r="H8" s="17" t="str">
        <x:v>이차돈의 순교를 계기로 불교를 공인하였다.</x:v>
      </x:c>
      <x:c r="I8" s="17" t="str">
        <x:v>건원이라는 독자적 연호를 사용하고 율령을 반포하였다.</x:v>
      </x:c>
      <x:c r="J8" s="17" t="n">
        <x:v>5</x:v>
      </x:c>
    </x:row>
    <x:row r="9">
      <x:c r="A9" s="17" t="n">
        <x:v>8</x:v>
      </x:c>
      <x:c r="B9" s="17" t="n">
        <x:v>2</x:v>
      </x:c>
      <x:c r="C9" s="17" t="str">
        <x:v>④</x:v>
      </x:c>
      <x:c r="D9" s="17" t="str">
        <x:v>다음 나라에 대한 설명으로 옳은 것은? 이 나라는 고구려 계승 의식을 가지고 있었으며, 중앙 정치 조직으로 3성 6부를 두었다. 문왕 때 당과 친선 관계를 맺고 수도를 상경 용천부로 옮겼다.</x:v>
      </x:c>
      <x:c r="E9" s="17" t="str">
        <x:v>골품제를 기반으로 관등 승진에 제한을 두었다.</x:v>
      </x:c>
      <x:c r="F9" s="17" t="str">
        <x:v>지방 행정 구역으로 9주 5소경을 정비하였다.</x:v>
      </x:c>
      <x:c r="G9" s="17" t="str">
        <x:v>일본으로부터 해동성국이라 불렸다.</x:v>
      </x:c>
      <x:c r="H9" s="17" t="str">
        <x:v>거란의 침입으로 멸망하였다.</x:v>
      </x:c>
      <x:c r="I9" s="17" t="str">
        <x:v>집사부를 중심으로 왕권을 강화하였다.</x:v>
      </x:c>
      <x:c r="J9" s="17" t="n">
        <x:v>5</x:v>
      </x:c>
    </x:row>
    <x:row r="10">
      <x:c r="A10" s="17" t="n">
        <x:v>9</x:v>
      </x:c>
      <x:c r="B10" s="17" t="n">
        <x:v>2</x:v>
      </x:c>
      <x:c r="C10" s="17" t="str">
        <x:v>③</x:v>
      </x:c>
      <x:c r="D10" s="17" t="str">
        <x:v>다음 정책을 실시한 신라 왕의 업적으로 옳은 것은? 관료전을 지급하고 녹읍을 폐지하였다. 국학을 설치하고 9주 5소경 체제를 정비하였다.</x:v>
      </x:c>
      <x:c r="E10" s="17" t="str">
        <x:v>화백 회의를 설치하였다.</x:v>
      </x:c>
      <x:c r="F10" s="17" t="str">
        <x:v>삼국 통일의 기반을 마련하였다.</x:v>
      </x:c>
      <x:c r="G10" s="17" t="str">
        <x:v>왕권 강화를 위해 김흠돌의 난을 진압하였다.</x:v>
      </x:c>
      <x:c r="H10" s="17" t="str">
        <x:v>장보고에게 청해진 설치를 허락하였다.</x:v>
      </x:c>
      <x:c r="I10" s="17" t="str">
        <x:v>지방 세력 견제를 위해 상수리 제도를 처음 마련하였다.</x:v>
      </x:c>
      <x:c r="J10" s="17" t="n">
        <x:v>5</x:v>
      </x:c>
    </x:row>
    <x:row r="11">
      <x:c r="A11" s="17" t="n">
        <x:v>10</x:v>
      </x:c>
      <x:c r="B11" s="17" t="n">
        <x:v>2</x:v>
      </x:c>
      <x:c r="C11" s="17" t="str">
        <x:v>③</x:v>
      </x:c>
      <x:c r="D11" s="17" t="str">
        <x:v>다음 글을 남긴 왕의 정책으로 옳은 것은? 불교를 숭상하되 연등회와 팔관회를 중시하라. 서경을 중시하고 후대의 왕들이 이를 잘 지키도록 하라.</x:v>
      </x:c>
      <x:c r="E11" s="17" t="str">
        <x:v>노비안검법을 실시하였다.</x:v>
      </x:c>
      <x:c r="F11" s="17" t="str">
        <x:v>12목에 지방관을 파견하였다.</x:v>
      </x:c>
      <x:c r="G11" s="17" t="str">
        <x:v>훈요 10조를 남겨 후대 왕에게 당부하였다.</x:v>
      </x:c>
      <x:c r="H11" s="17" t="str">
        <x:v>전시과 제도를 처음 마련하였다.</x:v>
      </x:c>
      <x:c r="I11" s="17" t="str">
        <x:v>국자감을 정비하고 향교를 설치하였다.</x:v>
      </x:c>
      <x:c r="J11" s="17" t="n">
        <x:v>5</x:v>
      </x:c>
    </x:row>
    <x:row r="12">
      <x:c r="A12" s="17" t="n">
        <x:v>11</x:v>
      </x:c>
      <x:c r="B12" s="17" t="n">
        <x:v>2</x:v>
      </x:c>
      <x:c r="C12" s="17" t="str">
        <x:v>①</x:v>
      </x:c>
      <x:c r="D12" s="17" t="str">
        <x:v>다음 왕의 개혁 정치로 옳은 것은? 이 왕은 쌍기의 건의를 받아들여 새로운 관리 선발 제도를 도입하였다. 호족과 공신 세력을 약화시키기 위해 노비 신분을 조사하였다.</x:v>
      </x:c>
      <x:c r="E12" s="17" t="str">
        <x:v>과거제를 실시하였다.</x:v>
      </x:c>
      <x:c r="F12" s="17" t="str">
        <x:v>경정 전시과를 시행하였다.</x:v>
      </x:c>
      <x:c r="G12" s="17" t="str">
        <x:v>삼국사기를 편찬하게 하였다.</x:v>
      </x:c>
      <x:c r="H12" s="17" t="str">
        <x:v>최승로의 시무 28조를 수용하였다.</x:v>
      </x:c>
      <x:c r="I12" s="17" t="str">
        <x:v>개경에 나성을 축조하여 방어를 강화하였다.</x:v>
      </x:c>
      <x:c r="J12" s="17" t="n">
        <x:v>5</x:v>
      </x:c>
    </x:row>
    <x:row r="13">
      <x:c r="A13" s="17" t="n">
        <x:v>12</x:v>
      </x:c>
      <x:c r="B13" s="17" t="n">
        <x:v>2</x:v>
      </x:c>
      <x:c r="C13" s="17" t="str">
        <x:v>②</x:v>
      </x:c>
      <x:c r="D13" s="17" t="str">
        <x:v>다음 건의를 수용한 왕의 업적으로 옳은 것은? 유교 정치 이념을 바탕으로 중앙과 지방 제도를 정비할 것을 건의하였다. 불교 행사와 토착 신앙 행사를 줄이고 백성의 부담을 덜 것을 주장하였다.</x:v>
      </x:c>
      <x:c r="E13" s="17" t="str">
        <x:v>만권당을 설치하였다.</x:v>
      </x:c>
      <x:c r="F13" s="17" t="str">
        <x:v>12목에 지방관을 파견하였다.</x:v>
      </x:c>
      <x:c r="G13" s="17" t="str">
        <x:v>전민변정도감을 설치하였다.</x:v>
      </x:c>
      <x:c r="H13" s="17" t="str">
        <x:v>정동행성 이문소를 폐지하였다.</x:v>
      </x:c>
      <x:c r="I13" s="17" t="str">
        <x:v>교정도감을 통해 국정을 장악하였다.</x:v>
      </x:c>
      <x:c r="J13" s="17" t="n">
        <x:v>5</x:v>
      </x:c>
    </x:row>
    <x:row r="14">
      <x:c r="A14" s="17" t="n">
        <x:v>13</x:v>
      </x:c>
      <x:c r="B14" s="17" t="n">
        <x:v>3</x:v>
      </x:c>
      <x:c r="C14" s="17" t="str">
        <x:v>①</x:v>
      </x:c>
      <x:c r="D14" s="17" t="str">
        <x:v>다음 사건을 일어난 순서대로 옳게 나열한 것은? (가) 서희가 외교 담판으로 강동 6주를 확보하였다. (나) 강감찬이 귀주에서 거란군을 크게 물리쳤다. (다) 윤관이 별무반을 조직하여 여진을 정벌하였다.</x:v>
      </x:c>
      <x:c r="E14" s="17" t="str">
        <x:v>(가) - (나) - (다)</x:v>
      </x:c>
      <x:c r="F14" s="17" t="str">
        <x:v>(가) - (다) - (나)</x:v>
      </x:c>
      <x:c r="G14" s="17" t="str">
        <x:v>(나) - (가) - (다)</x:v>
      </x:c>
      <x:c r="H14" s="17" t="str">
        <x:v>(나) - (다) - (가)</x:v>
      </x:c>
      <x:c r="I14" s="17" t="str">
        <x:v>(다) - (가) - (나)</x:v>
      </x:c>
      <x:c r="J14" s="17" t="n">
        <x:v>5</x:v>
      </x:c>
    </x:row>
    <x:row r="15">
      <x:c r="A15" s="17" t="n">
        <x:v>14</x:v>
      </x:c>
      <x:c r="B15" s="17" t="n">
        <x:v>2</x:v>
      </x:c>
      <x:c r="C15" s="17" t="str">
        <x:v>③</x:v>
      </x:c>
      <x:c r="D15" s="17" t="str">
        <x:v>다음 항쟁에 대한 설명으로 옳은 것은? 개경 환도에 반발하여 일어났으며, 진도와 제주도로 근거지를 옮기며 항전하였다.</x:v>
      </x:c>
      <x:c r="E15" s="17" t="str">
        <x:v>최우가 설치한 정방에서 주도하였다.</x:v>
      </x:c>
      <x:c r="F15" s="17" t="str">
        <x:v>망이·망소이가 공주 명학소에서 일으켰다.</x:v>
      </x:c>
      <x:c r="G15" s="17" t="str">
        <x:v>삼별초가 몽골과 고려 정부에 맞서 전개하였다.</x:v>
      </x:c>
      <x:c r="H15" s="17" t="str">
        <x:v>묘청이 서경 천도를 주장하며 일으켰다.</x:v>
      </x:c>
      <x:c r="I15" s="17" t="str">
        <x:v>이자겸이 왕권을 위협하며 난을 일으켰다.</x:v>
      </x:c>
      <x:c r="J15" s="17" t="n">
        <x:v>5</x:v>
      </x:c>
    </x:row>
    <x:row r="16">
      <x:c r="A16" s="17" t="n">
        <x:v>15</x:v>
      </x:c>
      <x:c r="B16" s="17" t="n">
        <x:v>2</x:v>
      </x:c>
      <x:c r="C16" s="17" t="str">
        <x:v>①</x:v>
      </x:c>
      <x:c r="D16" s="17" t="str">
        <x:v>다음 문화유산에 대한 설명으로 옳은 것은? 백운화상초록불조직지심체요절</x:v>
      </x:c>
      <x:c r="E16" s="17" t="str">
        <x:v>현존하는 가장 오래된 금속 활자본으로 알려져 있다.</x:v>
      </x:c>
      <x:c r="F16" s="17" t="str">
        <x:v>몽골 침입을 물리치려는 염원을 담아 조성되었다.</x:v>
      </x:c>
      <x:c r="G16" s="17" t="str">
        <x:v>목판 인쇄술의 정수를 보여 주는 팔만대장경판이다.</x:v>
      </x:c>
      <x:c r="H16" s="17" t="str">
        <x:v>유네스코 세계 문화유산으로 등재된 조선 왕릉이다.</x:v>
      </x:c>
      <x:c r="I16" s="17" t="str">
        <x:v>고려 전기의 귀족 문화를 보여 주는 불국사 3층 석탑이다.</x:v>
      </x:c>
      <x:c r="J16" s="17" t="n">
        <x:v>5</x:v>
      </x:c>
    </x:row>
    <x:row r="17">
      <x:c r="A17" s="17" t="n">
        <x:v>16</x:v>
      </x:c>
      <x:c r="B17" s="17" t="n">
        <x:v>2</x:v>
      </x:c>
      <x:c r="C17" s="17" t="str">
        <x:v>②</x:v>
      </x:c>
      <x:c r="D17" s="17" t="str">
        <x:v>다음 왕의 재위 시기에 있었던 사실로 옳은 것은? 이 왕은 집현전을 중심으로 학문 연구를 장려하고, 백성을 가르치는 바른 소리라는 뜻의 새 문자를 만들었다.</x:v>
      </x:c>
      <x:c r="E17" s="17" t="str">
        <x:v>경국대전 편찬을 완성하였다.</x:v>
      </x:c>
      <x:c r="F17" s="17" t="str">
        <x:v>훈민정음을 창제하였다.</x:v>
      </x:c>
      <x:c r="G17" s="17" t="str">
        <x:v>비변사를 상설 기구화하였다.</x:v>
      </x:c>
      <x:c r="H17" s="17" t="str">
        <x:v>초계문신제를 실시하였다.</x:v>
      </x:c>
      <x:c r="I17" s="17" t="str">
        <x:v>탕평비를 세워 붕당 정치의 폐단을 경계하였다.</x:v>
      </x:c>
      <x:c r="J17" s="17" t="n">
        <x:v>5</x:v>
      </x:c>
    </x:row>
    <x:row r="18">
      <x:c r="A18" s="17" t="n">
        <x:v>17</x:v>
      </x:c>
      <x:c r="B18" s="17" t="n">
        <x:v>2</x:v>
      </x:c>
      <x:c r="C18" s="17" t="str">
        <x:v>③</x:v>
      </x:c>
      <x:c r="D18" s="17" t="str">
        <x:v>다음 왕의 정책으로 옳은 것은? 계유정난을 통해 권력을 장악한 뒤 왕위에 올랐으며, 왕권 강화를 위해 여러 제도를 정비하였다.</x:v>
      </x:c>
      <x:c r="E18" s="17" t="str">
        <x:v>사간원을 독립시켰다.</x:v>
      </x:c>
      <x:c r="F18" s="17" t="str">
        <x:v>6조 직계제를 실시하였다.</x:v>
      </x:c>
      <x:c r="G18" s="17" t="str">
        <x:v>집현전을 폐지하고 직전법을 실시하였다.</x:v>
      </x:c>
      <x:c r="H18" s="17" t="str">
        <x:v>홍문관을 설치하여 경연을 강화하였다.</x:v>
      </x:c>
      <x:c r="I18" s="17" t="str">
        <x:v>장용영을 설치하여 친위 부대를 육성하였다.</x:v>
      </x:c>
      <x:c r="J18" s="17" t="n">
        <x:v>5</x:v>
      </x:c>
    </x:row>
    <x:row r="19">
      <x:c r="A19" s="17" t="n">
        <x:v>18</x:v>
      </x:c>
      <x:c r="B19" s="17" t="n">
        <x:v>2</x:v>
      </x:c>
      <x:c r="C19" s="17" t="str">
        <x:v>③</x:v>
      </x:c>
      <x:c r="D19" s="17" t="str">
        <x:v>다음 인물의 개혁 정치로 옳은 것은? 중종 때 등용되어 급진적 개혁을 추진하였다. 현량과 실시, 소격서 폐지, 위훈 삭제 등을 주장하였다.</x:v>
      </x:c>
      <x:c r="E19" s="17" t="str">
        <x:v>대동법의 전국 확대를 추진하였다.</x:v>
      </x:c>
      <x:c r="F19" s="17" t="str">
        <x:v>삼정이정청 설치를 건의하였다.</x:v>
      </x:c>
      <x:c r="G19" s="17" t="str">
        <x:v>소학 보급을 통해 향촌 교화를 강조하였다.</x:v>
      </x:c>
      <x:c r="H19" s="17" t="str">
        <x:v>균역법을 실시하여 군포를 줄였다.</x:v>
      </x:c>
      <x:c r="I19" s="17" t="str">
        <x:v>비변사를 폐지하고 의정부 기능을 회복하였다.</x:v>
      </x:c>
      <x:c r="J19" s="17" t="n">
        <x:v>5</x:v>
      </x:c>
    </x:row>
    <x:row r="20">
      <x:c r="A20" s="17" t="n">
        <x:v>19</x:v>
      </x:c>
      <x:c r="B20" s="17" t="n">
        <x:v>2</x:v>
      </x:c>
      <x:c r="C20" s="17" t="str">
        <x:v>②</x:v>
      </x:c>
      <x:c r="D20" s="17" t="str">
        <x:v>다음 전쟁 중에 있었던 사실로 옳은 것은? 왜군이 부산진과 동래성을 함락하고 한양까지 북상하였다. 수군과 의병의 활약, 명군의 참전으로 전세가 바뀌었다.</x:v>
      </x:c>
      <x:c r="E20" s="17" t="str">
        <x:v>김종서가 6진을 개척하였다.</x:v>
      </x:c>
      <x:c r="F20" s="17" t="str">
        <x:v>이순신이 한산도 대첩에서 승리하였다.</x:v>
      </x:c>
      <x:c r="G20" s="17" t="str">
        <x:v>서희가 외교 담판으로 강동 6주를 얻었다.</x:v>
      </x:c>
      <x:c r="H20" s="17" t="str">
        <x:v>최영이 요동 정벌을 추진하였다.</x:v>
      </x:c>
      <x:c r="I20" s="17" t="str">
        <x:v>강홍립이 후금에 투항하였다.</x:v>
      </x:c>
      <x:c r="J20" s="17" t="n">
        <x:v>5</x:v>
      </x:c>
    </x:row>
    <x:row r="21">
      <x:c r="A21" s="17" t="n">
        <x:v>20</x:v>
      </x:c>
      <x:c r="B21" s="17" t="n">
        <x:v>2</x:v>
      </x:c>
      <x:c r="C21" s="17" t="str">
        <x:v>①</x:v>
      </x:c>
      <x:c r="D21" s="17" t="str">
        <x:v>다음 왕의 재위 시기에 있었던 사실로 옳은 것은? 명과 후금 사이에서 중립 외교를 펼쳤으며, 전쟁 피해 복구를 위해 노력하였다. 경기도에서 대동법이 처음 시행되었다.</x:v>
      </x:c>
      <x:c r="E21" s="17" t="str">
        <x:v>인조반정으로 왕위에서 물러났다.</x:v>
      </x:c>
      <x:c r="F21" s="17" t="str">
        <x:v>병자호란 이후 청에 항복하였다.</x:v>
      </x:c>
      <x:c r="G21" s="17" t="str">
        <x:v>북벌 운동을 적극 추진하였다.</x:v>
      </x:c>
      <x:c r="H21" s="17" t="str">
        <x:v>백두산정계비를 세워 국경을 정하였다.</x:v>
      </x:c>
      <x:c r="I21" s="17" t="str">
        <x:v>삼정이정청을 설치하여 민생을 안정시키려 하였다.</x:v>
      </x:c>
      <x:c r="J21" s="17" t="n">
        <x:v>5</x:v>
      </x:c>
    </x:row>
    <x:row r="22">
      <x:c r="A22" s="17" t="n">
        <x:v>21</x:v>
      </x:c>
      <x:c r="B22" s="17" t="n">
        <x:v>2</x:v>
      </x:c>
      <x:c r="C22" s="17" t="str">
        <x:v>①</x:v>
      </x:c>
      <x:c r="D22" s="17" t="str">
        <x:v>다음 왕의 정책으로 옳은 것은? 붕당의 폐단을 줄이고 왕권을 안정시키기 위해 탕평책을 추진하였다. 군포 부담을 줄이기 위해 균역법을 시행하였다.</x:v>
      </x:c>
      <x:c r="E22" s="17" t="str">
        <x:v>속대전을 편찬하였다.</x:v>
      </x:c>
      <x:c r="F22" s="17" t="str">
        <x:v>대전통편을 편찬하였다.</x:v>
      </x:c>
      <x:c r="G22" s="17" t="str">
        <x:v>규장각을 설치하였다.</x:v>
      </x:c>
      <x:c r="H22" s="17" t="str">
        <x:v>경복궁을 중건하였다.</x:v>
      </x:c>
      <x:c r="I22" s="17" t="str">
        <x:v>삼정이정청을 설치하였다.</x:v>
      </x:c>
      <x:c r="J22" s="17" t="n">
        <x:v>5</x:v>
      </x:c>
    </x:row>
    <x:row r="23">
      <x:c r="A23" s="17" t="n">
        <x:v>22</x:v>
      </x:c>
      <x:c r="B23" s="17" t="n">
        <x:v>2</x:v>
      </x:c>
      <x:c r="C23" s="17" t="str">
        <x:v>①</x:v>
      </x:c>
      <x:c r="D23" s="17" t="str">
        <x:v>다음 왕의 업적으로 옳은 것은? 수원 화성을 건설하고, 왕권 강화를 위해 친위 부대를 설치하였다. 젊은 문신을 재교육하는 제도를 운영하였다.</x:v>
      </x:c>
      <x:c r="E23" s="17" t="str">
        <x:v>초계문신제를 실시하였다.</x:v>
      </x:c>
      <x:c r="F23" s="17" t="str">
        <x:v>사창제를 전국적으로 실시하였다.</x:v>
      </x:c>
      <x:c r="G23" s="17" t="str">
        <x:v>훈련도감을 설치하였다.</x:v>
      </x:c>
      <x:c r="H23" s="17" t="str">
        <x:v>북학의를 편찬하였다.</x:v>
      </x:c>
      <x:c r="I23" s="17" t="str">
        <x:v>탕평비를 건립하였다.</x:v>
      </x:c>
      <x:c r="J23" s="17" t="n">
        <x:v>5</x:v>
      </x:c>
    </x:row>
    <x:row r="24">
      <x:c r="A24" s="17" t="n">
        <x:v>23</x:v>
      </x:c>
      <x:c r="B24" s="17" t="n">
        <x:v>2</x:v>
      </x:c>
      <x:c r="C24" s="17" t="str">
        <x:v>③</x:v>
      </x:c>
      <x:c r="D24" s="17" t="str">
        <x:v>다음 사상가에 대한 설명으로 옳은 것은? 목민심서, 경세유표 등을 저술하였다. 거중기를 설계하여 수원 화성 축조에 기여하였다.</x:v>
      </x:c>
      <x:c r="E24" s="17" t="str">
        <x:v>대동여지도를 제작하였다.</x:v>
      </x:c>
      <x:c r="F24" s="17" t="str">
        <x:v>북학의를 지어 청의 문물 수용을 주장하였다.</x:v>
      </x:c>
      <x:c r="G24" s="17" t="str">
        <x:v>여전론을 주장하며 토지 제도 개혁을 구상하였다.</x:v>
      </x:c>
      <x:c r="H24" s="17" t="str">
        <x:v>반계수록을 통해 균전론을 제시하였다.</x:v>
      </x:c>
      <x:c r="I24" s="17" t="str">
        <x:v>의산문답에서 지전설을 주장하였다.</x:v>
      </x:c>
      <x:c r="J24" s="17" t="n">
        <x:v>5</x:v>
      </x:c>
    </x:row>
    <x:row r="25">
      <x:c r="A25" s="17" t="n">
        <x:v>24</x:v>
      </x:c>
      <x:c r="B25" s="17" t="n">
        <x:v>2</x:v>
      </x:c>
      <x:c r="C25" s="17" t="str">
        <x:v>①</x:v>
      </x:c>
      <x:c r="D25" s="17" t="str">
        <x:v>다음 봉기에 대한 설명으로 옳은 것은? 평안도 지역 차별과 세도 정치기의 수탈에 반발하여 일어났다. 가산에서 시작되어 청천강 이북 지역으로 확산되었다.</x:v>
      </x:c>
      <x:c r="E25" s="17" t="str">
        <x:v>홍경래가 주도하였다.</x:v>
      </x:c>
      <x:c r="F25" s="17" t="str">
        <x:v>전봉준이 백산에서 격문을 발표하였다.</x:v>
      </x:c>
      <x:c r="G25" s="17" t="str">
        <x:v>임술 농민 봉기의 계기가 되었다.</x:v>
      </x:c>
      <x:c r="H25" s="17" t="str">
        <x:v>동학 교조 신원을 요구하였다.</x:v>
      </x:c>
      <x:c r="I25" s="17" t="str">
        <x:v>우정총국 개국 축하연을 이용해 일어났다.</x:v>
      </x:c>
      <x:c r="J25" s="17" t="n">
        <x:v>5</x:v>
      </x:c>
    </x:row>
    <x:row r="26">
      <x:c r="A26" s="17" t="n">
        <x:v>25</x:v>
      </x:c>
      <x:c r="B26" s="17" t="n">
        <x:v>2</x:v>
      </x:c>
      <x:c r="C26" s="17" t="str">
        <x:v>②</x:v>
      </x:c>
      <x:c r="D26" s="17" t="str">
        <x:v>다음 인물의 정책으로 옳은 것은? 고종 즉위 초기에 권력을 장악하였으며, 왕권 강화를 내세워 개혁을 추진하였다. 양반에게도 군포를 부과하는 제도를 실시하고, 서원을 대폭 정리하였다.</x:v>
      </x:c>
      <x:c r="E26" s="17" t="str">
        <x:v>통리기무아문을 설치하였다.</x:v>
      </x:c>
      <x:c r="F26" s="17" t="str">
        <x:v>호포제를 실시하였다.</x:v>
      </x:c>
      <x:c r="G26" s="17" t="str">
        <x:v>대한국 국제를 반포하였다.</x:v>
      </x:c>
      <x:c r="H26" s="17" t="str">
        <x:v>군국기무처를 설치하였다.</x:v>
      </x:c>
      <x:c r="I26" s="17" t="str">
        <x:v>원수부를 두어 군권을 강화하였다.</x:v>
      </x:c>
      <x:c r="J26" s="17" t="n">
        <x:v>5</x:v>
      </x:c>
    </x:row>
    <x:row r="27">
      <x:c r="A27" s="17" t="n">
        <x:v>26</x:v>
      </x:c>
      <x:c r="B27" s="17" t="n">
        <x:v>2</x:v>
      </x:c>
      <x:c r="C27" s="17" t="str">
        <x:v>③</x:v>
      </x:c>
      <x:c r="D27" s="17" t="str">
        <x:v>다음 조약에 대한 설명으로 옳은 것은? 운요호 사건을 계기로 체결되었다. 조선이 자주국임을 명시하였으나, 일본에 해안 측량권과 영사 재판권을 인정하였다.</x:v>
      </x:c>
      <x:c r="E27" s="17" t="str">
        <x:v>조·청 상민 수륙 무역 장정이다.</x:v>
      </x:c>
      <x:c r="F27" s="17" t="str">
        <x:v>조·미 수호 통상 조약이다.</x:v>
      </x:c>
      <x:c r="G27" s="17" t="str">
        <x:v>강화도 조약이다.</x:v>
      </x:c>
      <x:c r="H27" s="17" t="str">
        <x:v>한성 조약이다.</x:v>
      </x:c>
      <x:c r="I27" s="17" t="str">
        <x:v>을사늑약이다.</x:v>
      </x:c>
      <x:c r="J27" s="17" t="n">
        <x:v>5</x:v>
      </x:c>
    </x:row>
    <x:row r="28">
      <x:c r="A28" s="17" t="n">
        <x:v>27</x:v>
      </x:c>
      <x:c r="B28" s="17" t="n">
        <x:v>2</x:v>
      </x:c>
      <x:c r="C28" s="17" t="str">
        <x:v>①</x:v>
      </x:c>
      <x:c r="D28" s="17" t="str">
        <x:v>다음 정책이 추진된 시기의 사실로 옳은 것은? 통리기무아문을 설치하고, 별기군을 창설하였다. 일본에 조사 시찰단을, 청에 영선사를 파견하였다.</x:v>
      </x:c>
      <x:c r="E28" s="17" t="str">
        <x:v>구식 군인들이 임오군란을 일으켰다.</x:v>
      </x:c>
      <x:c r="F28" s="17" t="str">
        <x:v>군국기무처가 개혁을 주도하였다.</x:v>
      </x:c>
      <x:c r="G28" s="17" t="str">
        <x:v>독립 협회가 만민 공동회를 개최하였다.</x:v>
      </x:c>
      <x:c r="H28" s="17" t="str">
        <x:v>대한 제국이 광무개혁을 추진하였다.</x:v>
      </x:c>
      <x:c r="I28" s="17" t="str">
        <x:v>조선 형평사가 백정 차별 철폐 운동을 전개하였다.</x:v>
      </x:c>
      <x:c r="J28" s="17" t="n">
        <x:v>5</x:v>
      </x:c>
    </x:row>
    <x:row r="29">
      <x:c r="A29" s="17" t="n">
        <x:v>28</x:v>
      </x:c>
      <x:c r="B29" s="17" t="n">
        <x:v>2</x:v>
      </x:c>
      <x:c r="C29" s="17" t="str">
        <x:v>②</x:v>
      </x:c>
      <x:c r="D29" s="17" t="str">
        <x:v>다음 사건에 대한 설명으로 옳은 것은? 급진 개화파가 우정총국 개국 축하연을 이용하여 일으켰다. 청군의 개입으로 3일 만에 실패하였다.</x:v>
      </x:c>
      <x:c r="E29" s="17" t="str">
        <x:v>홍범 14조가 반포되는 계기가 되었다.</x:v>
      </x:c>
      <x:c r="F29" s="17" t="str">
        <x:v>일본과 한성 조약을 체결하는 결과를 가져왔다.</x:v>
      </x:c>
      <x:c r="G29" s="17" t="str">
        <x:v>고종이 러시아 공사관으로 거처를 옮기는 계기가 되었다.</x:v>
      </x:c>
      <x:c r="H29" s="17" t="str">
        <x:v>구본신참의 원칙에 따라 개혁이 추진되었다.</x:v>
      </x:c>
      <x:c r="I29" s="17" t="str">
        <x:v>동학 농민군이 전주 화약을 체결하였다.</x:v>
      </x:c>
      <x:c r="J29" s="17" t="n">
        <x:v>5</x:v>
      </x:c>
    </x:row>
    <x:row r="30">
      <x:c r="A30" s="17" t="n">
        <x:v>29</x:v>
      </x:c>
      <x:c r="B30" s="17" t="n">
        <x:v>3</x:v>
      </x:c>
      <x:c r="C30" s="17" t="str">
        <x:v>①</x:v>
      </x:c>
      <x:c r="D30" s="17" t="str">
        <x:v>다음 사건을 일어난 순서대로 옳게 나열한 것은? (가) 동학 농민군이 황토현 전투에서 승리하였다. (나) 군국기무처가 설치되어 개혁을 추진하였다. (다) 을미사변이 일어나 명성 황후가 시해되었다.</x:v>
      </x:c>
      <x:c r="E30" s="17" t="str">
        <x:v>(가) - (나) - (다)</x:v>
      </x:c>
      <x:c r="F30" s="17" t="str">
        <x:v>(가) - (다) - (나)</x:v>
      </x:c>
      <x:c r="G30" s="17" t="str">
        <x:v>(나) - (가) - (다)</x:v>
      </x:c>
      <x:c r="H30" s="17" t="str">
        <x:v>(나) - (다) - (가)</x:v>
      </x:c>
      <x:c r="I30" s="17" t="str">
        <x:v>(다) - (가) - (나)</x:v>
      </x:c>
      <x:c r="J30" s="17" t="n">
        <x:v>5</x:v>
      </x:c>
    </x:row>
    <x:row r="31">
      <x:c r="A31" s="17" t="n">
        <x:v>30</x:v>
      </x:c>
      <x:c r="B31" s="17" t="n">
        <x:v>2</x:v>
      </x:c>
      <x:c r="C31" s="17" t="str">
        <x:v>①</x:v>
      </x:c>
      <x:c r="D31" s="17" t="str">
        <x:v>다음 개혁의 내용으로 옳은 것은? 군국기무처를 중심으로 추진되었으며, 신분제 폐지와 과거제 폐지가 이루어졌다.</x:v>
      </x:c>
      <x:c r="E31" s="17" t="str">
        <x:v>연좌제를 폐지하였다.</x:v>
      </x:c>
      <x:c r="F31" s="17" t="str">
        <x:v>당백전을 발행하였다.</x:v>
      </x:c>
      <x:c r="G31" s="17" t="str">
        <x:v>5군영을 2영으로 통합하였다.</x:v>
      </x:c>
      <x:c r="H31" s="17" t="str">
        <x:v>집강소를 설치하였다.</x:v>
      </x:c>
      <x:c r="I31" s="17" t="str">
        <x:v>독서삼품과를 실시하였다.</x:v>
      </x:c>
      <x:c r="J31" s="17" t="n">
        <x:v>5</x:v>
      </x:c>
    </x:row>
    <x:row r="32">
      <x:c r="A32" s="17" t="n">
        <x:v>31</x:v>
      </x:c>
      <x:c r="B32" s="17" t="n">
        <x:v>2</x:v>
      </x:c>
      <x:c r="C32" s="17" t="str">
        <x:v>②</x:v>
      </x:c>
      <x:c r="D32" s="17" t="str">
        <x:v>다음 단체의 활동으로 옳은 것은? 서재필 등이 중심이 되어 창립하였다. 독립문을 세우고 독립신문을 발행하였으며, 만민 공동회를 개최하였다.</x:v>
      </x:c>
      <x:c r="E32" s="17" t="str">
        <x:v>국채 보상 운동을 주도하였다.</x:v>
      </x:c>
      <x:c r="F32" s="17" t="str">
        <x:v>헌의 6조를 결의하였다.</x:v>
      </x:c>
      <x:c r="G32" s="17" t="str">
        <x:v>105인 사건으로 해체되었다.</x:v>
      </x:c>
      <x:c r="H32" s="17" t="str">
        <x:v>조선 혁명 선언을 활동 지침으로 삼았다.</x:v>
      </x:c>
      <x:c r="I32" s="17" t="str">
        <x:v>물산 장려 운동을 전국적으로 확산시켰다.</x:v>
      </x:c>
      <x:c r="J32" s="17" t="n">
        <x:v>5</x:v>
      </x:c>
    </x:row>
    <x:row r="33">
      <x:c r="A33" s="17" t="n">
        <x:v>32</x:v>
      </x:c>
      <x:c r="B33" s="17" t="n">
        <x:v>2</x:v>
      </x:c>
      <x:c r="C33" s="17" t="str">
        <x:v>②</x:v>
      </x:c>
      <x:c r="D33" s="17" t="str">
        <x:v>다음 개혁에 대한 설명으로 옳은 것은? 대한 제국이 추진한 근대화 정책으로, 구본신참을 원칙으로 하였다. 양전 사업을 실시하고 일부 지역에서 지계를 발급하였다.</x:v>
      </x:c>
      <x:c r="E33" s="17" t="str">
        <x:v>갑오개혁이다.</x:v>
      </x:c>
      <x:c r="F33" s="17" t="str">
        <x:v>광무개혁이다.</x:v>
      </x:c>
      <x:c r="G33" s="17" t="str">
        <x:v>갑신정변이다.</x:v>
      </x:c>
      <x:c r="H33" s="17" t="str">
        <x:v>을미개혁이다.</x:v>
      </x:c>
      <x:c r="I33" s="17" t="str">
        <x:v>병인양요이다.</x:v>
      </x:c>
      <x:c r="J33" s="17" t="n">
        <x:v>5</x:v>
      </x:c>
    </x:row>
    <x:row r="34">
      <x:c r="A34" s="17" t="n">
        <x:v>33</x:v>
      </x:c>
      <x:c r="B34" s="17" t="n">
        <x:v>2</x:v>
      </x:c>
      <x:c r="C34" s="17" t="str">
        <x:v>①</x:v>
      </x:c>
      <x:c r="D34" s="17" t="str">
        <x:v>다음 조약 체결 이후의 사실로 옳은 것은? 일본이 대한 제국의 외교권을 박탈하고 통감부를 설치하는 근거가 되었다.</x:v>
      </x:c>
      <x:c r="E34" s="17" t="str">
        <x:v>고종이 헤이그에 특사를 파견하였다.</x:v>
      </x:c>
      <x:c r="F34" s="17" t="str">
        <x:v>별기군이 창설되었다.</x:v>
      </x:c>
      <x:c r="G34" s="17" t="str">
        <x:v>조선책략이 국내에 유포되었다.</x:v>
      </x:c>
      <x:c r="H34" s="17" t="str">
        <x:v>제너럴 셔먼호 사건이 발생하였다.</x:v>
      </x:c>
      <x:c r="I34" s="17" t="str">
        <x:v>보빙사가 미국에 파견되었다.</x:v>
      </x:c>
      <x:c r="J34" s="17" t="n">
        <x:v>5</x:v>
      </x:c>
    </x:row>
    <x:row r="35">
      <x:c r="A35" s="17" t="n">
        <x:v>34</x:v>
      </x:c>
      <x:c r="B35" s="17" t="n">
        <x:v>2</x:v>
      </x:c>
      <x:c r="C35" s="17" t="str">
        <x:v>③</x:v>
      </x:c>
      <x:c r="D35" s="17" t="str">
        <x:v>다음 의병 운동에 대한 설명으로 옳은 것은? 고종 강제 퇴위와 군대 해산을 계기로 전국적으로 확산되었다. 해산 군인이 합류하면서 전투력이 강화되었다.</x:v>
      </x:c>
      <x:c r="E35" s="17" t="str">
        <x:v>을미의병이다.</x:v>
      </x:c>
      <x:c r="F35" s="17" t="str">
        <x:v>을사의병이다.</x:v>
      </x:c>
      <x:c r="G35" s="17" t="str">
        <x:v>정미의병이다.</x:v>
      </x:c>
      <x:c r="H35" s="17" t="str">
        <x:v>독립군의 봉오동 전투이다.</x:v>
      </x:c>
      <x:c r="I35" s="17" t="str">
        <x:v>동학 농민 운동이다.</x:v>
      </x:c>
      <x:c r="J35" s="17" t="n">
        <x:v>5</x:v>
      </x:c>
    </x:row>
    <x:row r="36">
      <x:c r="A36" s="17" t="n">
        <x:v>35</x:v>
      </x:c>
      <x:c r="B36" s="17" t="n">
        <x:v>2</x:v>
      </x:c>
      <x:c r="C36" s="17" t="str">
        <x:v>①</x:v>
      </x:c>
      <x:c r="D36" s="17" t="str">
        <x:v>다음 단체에 대한 설명으로 옳은 것은? 안창호, 양기탁 등이 중심이 되어 조직한 비밀 결사이다. 대성 학교와 오산 학교를 세우고 민족 교육을 실시하였다.</x:v>
      </x:c>
      <x:c r="E36" s="17" t="str">
        <x:v>신민회이다.</x:v>
      </x:c>
      <x:c r="F36" s="17" t="str">
        <x:v>보안회이다.</x:v>
      </x:c>
      <x:c r="G36" s="17" t="str">
        <x:v>대한 자강회이다.</x:v>
      </x:c>
      <x:c r="H36" s="17" t="str">
        <x:v>독립 협회이다.</x:v>
      </x:c>
      <x:c r="I36" s="17" t="str">
        <x:v>조선어 학회이다.</x:v>
      </x:c>
      <x:c r="J36" s="17" t="n">
        <x:v>5</x:v>
      </x:c>
    </x:row>
    <x:row r="37">
      <x:c r="A37" s="17" t="n">
        <x:v>36</x:v>
      </x:c>
      <x:c r="B37" s="17" t="n">
        <x:v>2</x:v>
      </x:c>
      <x:c r="C37" s="17" t="str">
        <x:v>①</x:v>
      </x:c>
      <x:c r="D37" s="17" t="str">
        <x:v>다음 시기의 일제 통치 방식으로 옳은 것은? 조선 총독은 육해군 대장 중에서 임명되었다. 헌병 경찰이 일반 경찰 업무까지 담당하였다.</x:v>
      </x:c>
      <x:c r="E37" s="17" t="str">
        <x:v>회사령을 공포하여 기업 설립을 허가제로 하였다.</x:v>
      </x:c>
      <x:c r="F37" s="17" t="str">
        <x:v>산미 증식 계획을 추진하였다.</x:v>
      </x:c>
      <x:c r="G37" s="17" t="str">
        <x:v>민족 분열 통치를 위해 자치론을 조장하였다.</x:v>
      </x:c>
      <x:c r="H37" s="17" t="str">
        <x:v>황국 신민 서사를 암송하게 하였다.</x:v>
      </x:c>
      <x:c r="I37" s="17" t="str">
        <x:v>국가 총동원법을 조선에 적용하였다.</x:v>
      </x:c>
      <x:c r="J37" s="17" t="n">
        <x:v>5</x:v>
      </x:c>
    </x:row>
    <x:row r="38">
      <x:c r="A38" s="17" t="n">
        <x:v>37</x:v>
      </x:c>
      <x:c r="B38" s="17" t="n">
        <x:v>2</x:v>
      </x:c>
      <x:c r="C38" s="17" t="str">
        <x:v>②</x:v>
      </x:c>
      <x:c r="D38" s="17" t="str">
        <x:v>다음 운동의 결과로 옳은 것은? 1919년 3월 1일 민족 대표가 독립 선언서를 발표하였다. 전국 각지로 만세 시위가 확산되었다.</x:v>
      </x:c>
      <x:c r="E38" s="17" t="str">
        <x:v>대한 제국이 수립되었다.</x:v>
      </x:c>
      <x:c r="F38" s="17" t="str">
        <x:v>대한민국 임시 정부 수립에 영향을 주었다.</x:v>
      </x:c>
      <x:c r="G38" s="17" t="str">
        <x:v>신간회가 창립되었다.</x:v>
      </x:c>
      <x:c r="H38" s="17" t="str">
        <x:v>조선 형평사가 조직되었다.</x:v>
      </x:c>
      <x:c r="I38" s="17" t="str">
        <x:v>조선 건국 준비 위원회가 결성되었다.</x:v>
      </x:c>
      <x:c r="J38" s="17" t="n">
        <x:v>5</x:v>
      </x:c>
    </x:row>
    <x:row r="39">
      <x:c r="A39" s="17" t="n">
        <x:v>38</x:v>
      </x:c>
      <x:c r="B39" s="17" t="n">
        <x:v>2</x:v>
      </x:c>
      <x:c r="C39" s="17" t="str">
        <x:v>①</x:v>
      </x:c>
      <x:c r="D39" s="17" t="str">
        <x:v>다음 정부의 활동으로 옳은 것은? 상하이에 수립되어 연통제와 교통국을 통해 국내와 연락하였다. 미국에 구미 위원부를 두어 외교 활동을 전개하였다.</x:v>
      </x:c>
      <x:c r="E39" s="17" t="str">
        <x:v>독립 공채를 발행하였다.</x:v>
      </x:c>
      <x:c r="F39" s="17" t="str">
        <x:v>조선 혁명 선언을 발표하였다.</x:v>
      </x:c>
      <x:c r="G39" s="17" t="str">
        <x:v>원산 총파업을 주도하였다.</x:v>
      </x:c>
      <x:c r="H39" s="17" t="str">
        <x:v>6·10 만세 운동을 계획하였다.</x:v>
      </x:c>
      <x:c r="I39" s="17" t="str">
        <x:v>물산 장려 운동을 전개하였다.</x:v>
      </x:c>
      <x:c r="J39" s="17" t="n">
        <x:v>5</x:v>
      </x:c>
    </x:row>
    <x:row r="40">
      <x:c r="A40" s="17" t="n">
        <x:v>39</x:v>
      </x:c>
      <x:c r="B40" s="17" t="n">
        <x:v>2</x:v>
      </x:c>
      <x:c r="C40" s="17" t="str">
        <x:v>①</x:v>
      </x:c>
      <x:c r="D40" s="17" t="str">
        <x:v>다음 전투에 대한 설명으로 옳은 것은? 1920년 만주 지역에서 독립군 연합 부대가 일본군을 크게 물리쳤다. 김좌진이 이끄는 북로 군정서군이 전투에 참여하였다.</x:v>
      </x:c>
      <x:c r="E40" s="17" t="str">
        <x:v>청산리 대첩이다.</x:v>
      </x:c>
      <x:c r="F40" s="17" t="str">
        <x:v>봉오동 전투이다.</x:v>
      </x:c>
      <x:c r="G40" s="17" t="str">
        <x:v>쌍성보 전투이다.</x:v>
      </x:c>
      <x:c r="H40" s="17" t="str">
        <x:v>대전자령 전투이다.</x:v>
      </x:c>
      <x:c r="I40" s="17" t="str">
        <x:v>영릉가 전투이다.</x:v>
      </x:c>
      <x:c r="J40" s="17" t="n">
        <x:v>5</x:v>
      </x:c>
    </x:row>
    <x:row r="41">
      <x:c r="A41" s="17" t="n">
        <x:v>40</x:v>
      </x:c>
      <x:c r="B41" s="17" t="n">
        <x:v>2</x:v>
      </x:c>
      <x:c r="C41" s="17" t="str">
        <x:v>①</x:v>
      </x:c>
      <x:c r="D41" s="17" t="str">
        <x:v>다음 단체에 대한 설명으로 옳은 것은? 1927년 사회주의 세력과 비타협적 민족주의 세력이 연합하여 결성하였다. 광주 학생 항일 운동에 조사단을 파견하고 민중 대회를 계획하였다.</x:v>
      </x:c>
      <x:c r="E41" s="17" t="str">
        <x:v>신간회이다.</x:v>
      </x:c>
      <x:c r="F41" s="17" t="str">
        <x:v>의열단이다.</x:v>
      </x:c>
      <x:c r="G41" s="17" t="str">
        <x:v>대한 광복회이다.</x:v>
      </x:c>
      <x:c r="H41" s="17" t="str">
        <x:v>조선 민립 대학 기성회이다.</x:v>
      </x:c>
      <x:c r="I41" s="17" t="str">
        <x:v>근우회이다.</x:v>
      </x:c>
      <x:c r="J41" s="17" t="n">
        <x:v>5</x:v>
      </x:c>
    </x:row>
    <x:row r="42">
      <x:c r="A42" s="17" t="n">
        <x:v>41</x:v>
      </x:c>
      <x:c r="B42" s="17" t="n">
        <x:v>2</x:v>
      </x:c>
      <x:c r="C42" s="17" t="str">
        <x:v>①</x:v>
      </x:c>
      <x:c r="D42" s="17" t="str">
        <x:v>다음 운동에 대한 설명으로 옳은 것은? 평양에서 시작되어 전국으로 확산되었다. 조선 사람이 만든 물건을 쓰자는 구호를 내세웠다.</x:v>
      </x:c>
      <x:c r="E42" s="17" t="str">
        <x:v>물산 장려 운동이다.</x:v>
      </x:c>
      <x:c r="F42" s="17" t="str">
        <x:v>국채 보상 운동이다.</x:v>
      </x:c>
      <x:c r="G42" s="17" t="str">
        <x:v>브나로드 운동이다.</x:v>
      </x:c>
      <x:c r="H42" s="17" t="str">
        <x:v>문맹 퇴치 운동이다.</x:v>
      </x:c>
      <x:c r="I42" s="17" t="str">
        <x:v>형평 운동이다.</x:v>
      </x:c>
      <x:c r="J42" s="17" t="n">
        <x:v>5</x:v>
      </x:c>
    </x:row>
    <x:row r="43">
      <x:c r="A43" s="17" t="n">
        <x:v>42</x:v>
      </x:c>
      <x:c r="B43" s="17" t="n">
        <x:v>2</x:v>
      </x:c>
      <x:c r="C43" s="17" t="str">
        <x:v>①</x:v>
      </x:c>
      <x:c r="D43" s="17" t="str">
        <x:v>다음 단체의 활동으로 옳은 것은? 김원봉 등이 만주 지린에서 조직하였다. 신채호가 작성한 조선 혁명 선언을 활동 지침으로 삼았다.</x:v>
      </x:c>
      <x:c r="E43" s="17" t="str">
        <x:v>나석주의 동양 척식 주식회사 투탄 의거를 전개하였다.</x:v>
      </x:c>
      <x:c r="F43" s="17" t="str">
        <x:v>13도 창의군을 결성하여 서울 진공 작전을 추진하였다.</x:v>
      </x:c>
      <x:c r="G43" s="17" t="str">
        <x:v>독립문을 건립하고 토론회를 개최하였다.</x:v>
      </x:c>
      <x:c r="H43" s="17" t="str">
        <x:v>조선어 맞춤법 통일안을 제정하였다.</x:v>
      </x:c>
      <x:c r="I43" s="17" t="str">
        <x:v>조선 건국 동맹을 조직하였다.</x:v>
      </x:c>
      <x:c r="J43" s="17" t="n">
        <x:v>5</x:v>
      </x:c>
    </x:row>
    <x:row r="44">
      <x:c r="A44" s="17" t="n">
        <x:v>43</x:v>
      </x:c>
      <x:c r="B44" s="17" t="n">
        <x:v>2</x:v>
      </x:c>
      <x:c r="C44" s="17" t="str">
        <x:v>①</x:v>
      </x:c>
      <x:c r="D44" s="17" t="str">
        <x:v>다음 군대에 대한 설명으로 옳은 것은? 대한민국 임시 정부 산하의 정규 군대로 중국 충칭에서 창설되었다. 미국 전략 정보국과 협력하여 국내 진공 작전을 준비하였다.</x:v>
      </x:c>
      <x:c r="E44" s="17" t="str">
        <x:v>한국광복군이다.</x:v>
      </x:c>
      <x:c r="F44" s="17" t="str">
        <x:v>조선 의용대이다.</x:v>
      </x:c>
      <x:c r="G44" s="17" t="str">
        <x:v>대한 독립군이다.</x:v>
      </x:c>
      <x:c r="H44" s="17" t="str">
        <x:v>북로 군정서군이다.</x:v>
      </x:c>
      <x:c r="I44" s="17" t="str">
        <x:v>조선 혁명군이다.</x:v>
      </x:c>
      <x:c r="J44" s="17" t="n">
        <x:v>5</x:v>
      </x:c>
    </x:row>
    <x:row r="45">
      <x:c r="A45" s="17" t="n">
        <x:v>44</x:v>
      </x:c>
      <x:c r="B45" s="17" t="n">
        <x:v>3</x:v>
      </x:c>
      <x:c r="C45" s="17" t="str">
        <x:v>①</x:v>
      </x:c>
      <x:c r="D45" s="17" t="str">
        <x:v>다음 사건을 일어난 순서대로 옳게 나열한 것은? (가) 대한민국 임시 정부가 수립되었다. (나) 광주 학생 항일 운동이 일어났다. (다) 한국광복군이 창설되었다.</x:v>
      </x:c>
      <x:c r="E45" s="17" t="str">
        <x:v>(가) - (나) - (다)</x:v>
      </x:c>
      <x:c r="F45" s="17" t="str">
        <x:v>(가) - (다) - (나)</x:v>
      </x:c>
      <x:c r="G45" s="17" t="str">
        <x:v>(나) - (가) - (다)</x:v>
      </x:c>
      <x:c r="H45" s="17" t="str">
        <x:v>(나) - (다) - (가)</x:v>
      </x:c>
      <x:c r="I45" s="17" t="str">
        <x:v>(다) - (가) - (나)</x:v>
      </x:c>
      <x:c r="J45" s="17" t="n">
        <x:v>5</x:v>
      </x:c>
    </x:row>
    <x:row r="46">
      <x:c r="A46" s="17" t="n">
        <x:v>45</x:v>
      </x:c>
      <x:c r="B46" s="17" t="n">
        <x:v>2</x:v>
      </x:c>
      <x:c r="C46" s="17" t="str">
        <x:v>①</x:v>
      </x:c>
      <x:c r="D46" s="17" t="str">
        <x:v>다음 회의 결정 이후의 사실로 옳은 것은? 한국에 임시 민주 정부를 수립하고, 이를 돕기 위해 미소 공동 위원회를 개최한다. 최고 5년 동안 4개국에 의한 신탁 통치를 실시할 수 있다.</x:v>
      </x:c>
      <x:c r="E46" s="17" t="str">
        <x:v>좌우 합작 위원회가 좌우 합작 7원칙을 발표하였다.</x:v>
      </x:c>
      <x:c r="F46" s="17" t="str">
        <x:v>3·1 운동이 전국으로 확산되었다.</x:v>
      </x:c>
      <x:c r="G46" s="17" t="str">
        <x:v>대한 제국이 칭제건원을 선포하였다.</x:v>
      </x:c>
      <x:c r="H46" s="17" t="str">
        <x:v>한일 기본 조약이 체결되었다.</x:v>
      </x:c>
      <x:c r="I46" s="17" t="str">
        <x:v>유신 헌법이 공포되었다.</x:v>
      </x:c>
      <x:c r="J46" s="17" t="n">
        <x:v>5</x:v>
      </x:c>
    </x:row>
    <x:row r="47">
      <x:c r="A47" s="17" t="n">
        <x:v>46</x:v>
      </x:c>
      <x:c r="B47" s="17" t="n">
        <x:v>2</x:v>
      </x:c>
      <x:c r="C47" s="17" t="str">
        <x:v>①</x:v>
      </x:c>
      <x:c r="D47" s="17" t="str">
        <x:v>다음 기구에 대한 설명으로 옳은 것은? 1948년 제헌 국회에서 제정된 법률에 따라 설치되었다. 일제 강점기 반민족 행위자를 조사하고 처벌하려 하였다.</x:v>
      </x:c>
      <x:c r="E47" s="17" t="str">
        <x:v>반민족 행위 특별 조사 위원회이다.</x:v>
      </x:c>
      <x:c r="F47" s="17" t="str">
        <x:v>조선 건국 준비 위원회이다.</x:v>
      </x:c>
      <x:c r="G47" s="17" t="str">
        <x:v>국가 재건 최고 회의이다.</x:v>
      </x:c>
      <x:c r="H47" s="17" t="str">
        <x:v>통일 주체 국민 회의이다.</x:v>
      </x:c>
      <x:c r="I47" s="17" t="str">
        <x:v>민주화 추진 협의회이다.</x:v>
      </x:c>
      <x:c r="J47" s="17" t="n">
        <x:v>5</x:v>
      </x:c>
    </x:row>
    <x:row r="48">
      <x:c r="A48" s="17" t="n">
        <x:v>47</x:v>
      </x:c>
      <x:c r="B48" s="17" t="n">
        <x:v>3</x:v>
      </x:c>
      <x:c r="C48" s="17" t="str">
        <x:v>①</x:v>
      </x:c>
      <x:c r="D48" s="17" t="str">
        <x:v>다음 사건을 일어난 순서대로 옳게 나열한 것은? (가) 북한군의 남침으로 전쟁이 시작되었다. (나) 유엔군이 인천 상륙 작전을 전개하였다. (다) 중국군의 개입으로 국군과 유엔군이 후퇴하였다.</x:v>
      </x:c>
      <x:c r="E48" s="17" t="str">
        <x:v>(가) - (나) - (다)</x:v>
      </x:c>
      <x:c r="F48" s="17" t="str">
        <x:v>(가) - (다) - (나)</x:v>
      </x:c>
      <x:c r="G48" s="17" t="str">
        <x:v>(나) - (가) - (다)</x:v>
      </x:c>
      <x:c r="H48" s="17" t="str">
        <x:v>(나) - (다) - (가)</x:v>
      </x:c>
      <x:c r="I48" s="17" t="str">
        <x:v>(다) - (가) - (나)</x:v>
      </x:c>
      <x:c r="J48" s="17" t="n">
        <x:v>5</x:v>
      </x:c>
    </x:row>
    <x:row r="49">
      <x:c r="A49" s="17" t="n">
        <x:v>48</x:v>
      </x:c>
      <x:c r="B49" s="17" t="n">
        <x:v>2</x:v>
      </x:c>
      <x:c r="C49" s="17" t="str">
        <x:v>①</x:v>
      </x:c>
      <x:c r="D49" s="17" t="str">
        <x:v>다음 민주화 운동에 대한 설명으로 옳은 것은? 1960년 3·15 부정 선거에 항의하여 일어났다. 대통령이 하야하고 내각 책임제 개헌이 이루어졌다.</x:v>
      </x:c>
      <x:c r="E49" s="17" t="str">
        <x:v>4·19 혁명이다.</x:v>
      </x:c>
      <x:c r="F49" s="17" t="str">
        <x:v>부마 민주 항쟁이다.</x:v>
      </x:c>
      <x:c r="G49" s="17" t="str">
        <x:v>5·18 민주화 운동이다.</x:v>
      </x:c>
      <x:c r="H49" s="17" t="str">
        <x:v>6월 민주 항쟁이다.</x:v>
      </x:c>
      <x:c r="I49" s="17" t="str">
        <x:v>6·3 시위이다.</x:v>
      </x:c>
      <x:c r="J49" s="17" t="n">
        <x:v>5</x:v>
      </x:c>
    </x:row>
    <x:row r="50">
      <x:c r="A50" s="17" t="n">
        <x:v>49</x:v>
      </x:c>
      <x:c r="B50" s="17" t="n">
        <x:v>2</x:v>
      </x:c>
      <x:c r="C50" s="17" t="str">
        <x:v>①</x:v>
      </x:c>
      <x:c r="D50" s="17" t="str">
        <x:v>다음 헌법이 공포된 정부 시기에 있었던 사실로 옳은 것은? 대통령에게 긴급 조치권을 부여하고, 통일 주체 국민 회의에서 대통령을 선출하도록 하였다.</x:v>
      </x:c>
      <x:c r="E50" s="17" t="str">
        <x:v>7·4 남북 공동 성명이 발표되었다.</x:v>
      </x:c>
      <x:c r="F50" s="17" t="str">
        <x:v>금융 실명제가 실시되었다.</x:v>
      </x:c>
      <x:c r="G50" s="17" t="str">
        <x:v>남북 기본 합의서가 채택되었다.</x:v>
      </x:c>
      <x:c r="H50" s="17" t="str">
        <x:v>제2차 남북 정상 회담이 개최되었다.</x:v>
      </x:c>
      <x:c r="I50" s="17" t="str">
        <x:v>지방 자치제가 전면 실시되었다.</x:v>
      </x:c>
      <x:c r="J50" s="17" t="n">
        <x:v>5</x:v>
      </x:c>
    </x:row>
    <x:row r="51">
      <x:c r="A51" s="17" t="n">
        <x:v>50</x:v>
      </x:c>
      <x:c r="B51" s="17" t="n">
        <x:v>2</x:v>
      </x:c>
      <x:c r="C51" s="17" t="str">
        <x:v>①</x:v>
      </x:c>
      <x:c r="D51" s="17" t="str">
        <x:v>다음 민주화 운동의 결과로 옳은 것은? 박종철 고문치사 사건과 4·13 호헌 조치에 대한 반발 속에서 전국적으로 전개되었다. 시민들의 직선제 개헌 요구가 확산되었다.</x:v>
      </x:c>
      <x:c r="E51" s="17" t="str">
        <x:v>6·29 민주화 선언이 발표되었다.</x:v>
      </x:c>
      <x:c r="F51" s="17" t="str">
        <x:v>발췌 개헌안이 통과되었다.</x:v>
      </x:c>
      <x:c r="G51" s="17" t="str">
        <x:v>유신 헌법이 제정되었다.</x:v>
      </x:c>
      <x:c r="H51" s="17" t="str">
        <x:v>3선 개헌이 이루어졌다.</x:v>
      </x:c>
      <x:c r="I51" s="17" t="str">
        <x:v>국가 보위 비상 대책 위원회가 설치되었다.</x:v>
      </x:c>
      <x:c r="J51" s="17" t="n"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90" hidden="0" customWidth="1"/>
  </x:cols>
  <x:sheetData>
    <x:row r="1">
      <x:c r="A1" s="21" t="str">
        <x:v>한능검 SLLM 문항 평가지표 v1.8.1 요약</x:v>
      </x:c>
      <x:c r="B1" s="21"/>
      <x:c r="C1" s="21"/>
      <x:c r="D1" s="8"/>
    </x:row>
    <x:row r="2">
      <x:c r="A2" s="22"/>
      <x:c r="B2" s="22"/>
      <x:c r="C2" s="22"/>
    </x:row>
    <x:row r="3">
      <x:c r="A3" s="9" t="str">
        <x:v>Gate</x:v>
      </x:c>
      <x:c r="B3" s="9" t="str">
        <x:v>항목</x:v>
      </x:c>
      <x:c r="C3" s="9" t="str">
        <x:v>FAIL 기준 요약</x:v>
      </x:c>
    </x:row>
    <x:row r="4">
      <x:c r="A4" s="17" t="str">
        <x:v>G1</x:v>
      </x:c>
      <x:c r="B4" s="17" t="str">
        <x:v>입력·형식 성립</x:v>
      </x:c>
      <x:c r="C4" s="17" t="str">
        <x:v>발문·선택지·정답·배점 누락, 선택지 5개 아님, 정답 1개 아님</x:v>
      </x:c>
    </x:row>
    <x:row r="5">
      <x:c r="A5" s="17" t="str">
        <x:v>G2</x:v>
      </x:c>
      <x:c r="B5" s="17" t="str">
        <x:v>발문·선지 판독 가능성</x:v>
      </x:c>
      <x:c r="C5" s="17" t="str">
        <x:v>문장 파손·누락·심한 비문, 발문 요구 형식과 선택지 형식 불일치</x:v>
      </x:c>
    </x:row>
    <x:row r="6">
      <x:c r="A6" s="17" t="str">
        <x:v>G3</x:v>
      </x:c>
      <x:c r="B6" s="17" t="str">
        <x:v>정답 성립성·유일성</x:v>
      </x:c>
      <x:c r="C6" s="17" t="str">
        <x:v>발문 조건을 만족하는 선택지가 0개 또는 2개 이상, 표시 정답 오류</x:v>
      </x:c>
    </x:row>
    <x:row r="7">
      <x:c r="A7" s="17" t="str">
        <x:v>G4</x:v>
      </x:c>
      <x:c r="B7" s="17" t="str">
        <x:v>발문·자료 사실성</x:v>
      </x:c>
      <x:c r="C7" s="17" t="str">
        <x:v>발문·자료 핵심 단서가 역사 사실과 명백히 충돌하거나 내부 모순</x:v>
      </x:c>
    </x:row>
    <x:row r="8">
      <x:c r="A8" s="17" t="str">
        <x:v>G5</x:v>
      </x:c>
      <x:c r="B8" s="17" t="str">
        <x:v>오답 역사 사실성</x:v>
      </x:c>
      <x:c r="C8" s="17" t="str">
        <x:v>가짜 용어·가짜 사건·허위 결합. 다른 실제 역사 사실이면 PASS</x:v>
      </x:c>
    </x:row>
    <x:row r="9">
      <x:c r="A9" s="17" t="str">
        <x:v>G6</x:v>
      </x:c>
      <x:c r="B9" s="17" t="str">
        <x:v>정답 노출·복사·외형 편향</x:v>
      </x:c>
      <x:c r="C9" s="17" t="str">
        <x:v>정답명 직접 노출, 정답 선지 진술 복사, 정답만 외형적으로 튐</x:v>
      </x:c>
    </x:row>
    <x:row r="10">
      <x:c r="A10" s="17"/>
      <x:c r="B10" s="17"/>
      <x:c r="C10" s="17"/>
    </x:row>
    <x:row r="11">
      <x:c r="A11" s="9" t="str">
        <x:v>점수 항목</x:v>
      </x:c>
      <x:c r="B11" s="9" t="str">
        <x:v>범위</x:v>
      </x:c>
      <x:c r="C11" s="9" t="str">
        <x:v>입력 기준</x:v>
      </x:c>
    </x:row>
    <x:row r="12">
      <x:c r="A12" s="17" t="str">
        <x:v>목표 난이도 적합성</x:v>
      </x:c>
      <x:c r="B12" s="17" t="str">
        <x:v>0~4점</x:v>
      </x:c>
      <x:c r="C12" s="17" t="str">
        <x:v>배점에 맞는 단서 수, 단서 간접성, 풀이 단계, 지식 깊이</x:v>
      </x:c>
    </x:row>
    <x:row r="13">
      <x:c r="A13" s="17" t="str">
        <x:v>선택지 품질</x:v>
      </x:c>
      <x:c r="B13" s="17" t="str">
        <x:v>0~6점</x:v>
      </x:c>
      <x:c r="C13" s="17" t="str">
        <x:v>선택지 비교 단위, 중복 없음, 유효 매력 오답 수</x:v>
      </x:c>
    </x:row>
    <x:row r="14">
      <x:c r="A14" s="17" t="str">
        <x:v>문제점수</x:v>
      </x:c>
      <x:c r="B14" s="17" t="str">
        <x:v>0~10점</x:v>
      </x:c>
      <x:c r="C14" s="17" t="str">
        <x:v>Gate PASS일 때 난이도+선택지품질, Gate FAIL이면 0점</x:v>
      </x:c>
    </x:row>
    <x:row r="15">
      <x:c r="A15" s="17" t="str">
        <x:v>해설 품질</x:v>
      </x:c>
      <x:c r="B15" s="17" t="str">
        <x:v>제외</x:v>
      </x:c>
      <x:c r="C15" s="17" t="str">
        <x:v>첨부 PDF에 해설이 없어 이번 평가 시트에서는 제외</x:v>
      </x:c>
    </x:row>
  </x:sheetData>
  <x:mergeCells>
    <x:mergeCell ref="A1:D1"/>
  </x:mergeCells>
  <x:pageMargins left="0.7" right="0.7" top="0.75" bottom="0.75" header="0.3" footer="0.3"/>
</x:worksheet>
</file>